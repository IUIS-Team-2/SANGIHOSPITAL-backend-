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tunjay\Desktop\"/>
    </mc:Choice>
  </mc:AlternateContent>
  <xr:revisionPtr revIDLastSave="0" documentId="13_ncr:1_{AC21202E-1D1A-412C-8153-F9CC87B25E2C}" xr6:coauthVersionLast="40" xr6:coauthVersionMax="40" xr10:uidLastSave="{00000000-0000-0000-0000-000000000000}"/>
  <bookViews>
    <workbookView xWindow="0" yWindow="0" windowWidth="24000" windowHeight="9525" xr2:uid="{8A52BFB7-A48B-4A48-A9B9-D50DBC3B3C6F}"/>
  </bookViews>
  <sheets>
    <sheet name="MEDICINE" sheetId="1" r:id="rId1"/>
  </sheets>
  <externalReferences>
    <externalReference r:id="rId2"/>
  </externalReferences>
  <definedNames>
    <definedName name="_xlnm._FilterDatabase" localSheetId="0" hidden="1">MEDICINE!$A$9:$G$287</definedName>
    <definedName name="_xlnm.Print_Titles" localSheetId="0">MEDICINE!$9:$9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D5" i="1"/>
  <c r="A6" i="1"/>
  <c r="D6" i="1"/>
  <c r="A7" i="1"/>
  <c r="D7" i="1"/>
  <c r="G11" i="1"/>
  <c r="G12" i="1"/>
  <c r="G14" i="1"/>
  <c r="G15" i="1"/>
  <c r="G16" i="1"/>
  <c r="G17" i="1"/>
  <c r="G18" i="1"/>
  <c r="G19" i="1"/>
  <c r="G21" i="1"/>
  <c r="G24" i="1"/>
  <c r="G27" i="1"/>
  <c r="G28" i="1"/>
  <c r="G33" i="1"/>
  <c r="G26" i="1"/>
  <c r="G25" i="1"/>
  <c r="G23" i="1"/>
  <c r="G22" i="1"/>
  <c r="G13" i="1"/>
  <c r="G145" i="1"/>
  <c r="G29" i="1"/>
  <c r="G30" i="1"/>
  <c r="G31" i="1"/>
  <c r="G32" i="1"/>
  <c r="G34" i="1"/>
  <c r="G35" i="1"/>
  <c r="G36" i="1"/>
  <c r="G38" i="1"/>
  <c r="G37" i="1"/>
  <c r="G39" i="1"/>
  <c r="G40" i="1"/>
  <c r="G41" i="1"/>
  <c r="G42" i="1"/>
  <c r="G43" i="1"/>
  <c r="G44" i="1"/>
  <c r="G45" i="1"/>
  <c r="G46" i="1"/>
  <c r="G47" i="1"/>
  <c r="G48" i="1"/>
  <c r="G49" i="1"/>
  <c r="G50" i="1"/>
  <c r="G52" i="1"/>
  <c r="G53" i="1"/>
  <c r="G56" i="1"/>
  <c r="G57" i="1"/>
  <c r="G55" i="1"/>
  <c r="G51" i="1"/>
  <c r="G54" i="1"/>
  <c r="G58" i="1"/>
  <c r="G59" i="1"/>
  <c r="G60" i="1"/>
  <c r="G61" i="1"/>
  <c r="G62" i="1"/>
  <c r="G63" i="1"/>
  <c r="G65" i="1"/>
  <c r="G72" i="1"/>
  <c r="G73" i="1"/>
  <c r="G66" i="1"/>
  <c r="G67" i="1"/>
  <c r="G68" i="1"/>
  <c r="G69" i="1"/>
  <c r="G70" i="1"/>
  <c r="G71" i="1"/>
  <c r="G78" i="1"/>
  <c r="G74" i="1"/>
  <c r="G75" i="1"/>
  <c r="G76" i="1"/>
  <c r="G77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31" i="1"/>
  <c r="G132" i="1"/>
  <c r="G129" i="1"/>
  <c r="G130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200" i="1"/>
  <c r="G199" i="1"/>
  <c r="G201" i="1"/>
  <c r="G202" i="1"/>
  <c r="G203" i="1"/>
  <c r="G204" i="1"/>
  <c r="G205" i="1"/>
  <c r="G206" i="1"/>
  <c r="G207" i="1"/>
  <c r="G208" i="1"/>
  <c r="G209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5" i="1"/>
  <c r="G227" i="1"/>
  <c r="G228" i="1"/>
  <c r="G229" i="1"/>
  <c r="G230" i="1"/>
  <c r="G231" i="1"/>
  <c r="G233" i="1"/>
  <c r="G234" i="1"/>
  <c r="G235" i="1"/>
  <c r="G236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2" i="1"/>
  <c r="G251" i="1"/>
  <c r="G253" i="1"/>
  <c r="G254" i="1"/>
  <c r="G255" i="1"/>
  <c r="G256" i="1"/>
  <c r="G257" i="1"/>
  <c r="G258" i="1"/>
  <c r="G259" i="1"/>
  <c r="G260" i="1"/>
  <c r="G262" i="1"/>
  <c r="G263" i="1"/>
  <c r="G264" i="1"/>
  <c r="G265" i="1"/>
  <c r="G266" i="1"/>
  <c r="G267" i="1"/>
  <c r="G268" i="1"/>
  <c r="G270" i="1"/>
  <c r="G271" i="1"/>
  <c r="G272" i="1"/>
  <c r="G273" i="1"/>
  <c r="G274" i="1"/>
  <c r="G275" i="1"/>
  <c r="G276" i="1"/>
  <c r="G277" i="1"/>
  <c r="G278" i="1"/>
  <c r="G280" i="1"/>
  <c r="G281" i="1"/>
  <c r="G282" i="1"/>
  <c r="G283" i="1"/>
  <c r="G284" i="1"/>
  <c r="G285" i="1"/>
  <c r="G286" i="1"/>
  <c r="G287" i="1"/>
  <c r="E279" i="1" l="1"/>
  <c r="G279" i="1" s="1"/>
  <c r="E269" i="1"/>
  <c r="G269" i="1" s="1"/>
  <c r="E261" i="1"/>
  <c r="G261" i="1" s="1"/>
  <c r="E237" i="1"/>
  <c r="G237" i="1" s="1"/>
  <c r="E232" i="1"/>
  <c r="G232" i="1" s="1"/>
  <c r="E226" i="1"/>
  <c r="G226" i="1" s="1"/>
  <c r="E224" i="1"/>
  <c r="G224" i="1" s="1"/>
  <c r="E210" i="1"/>
  <c r="G210" i="1" s="1"/>
  <c r="E186" i="1"/>
  <c r="G186" i="1" s="1"/>
  <c r="E185" i="1"/>
  <c r="G185" i="1" s="1"/>
  <c r="E166" i="1"/>
  <c r="G166" i="1" s="1"/>
  <c r="E64" i="1"/>
  <c r="G64" i="1" s="1"/>
  <c r="E20" i="1"/>
  <c r="G20" i="1" s="1"/>
  <c r="G10" i="1"/>
  <c r="G290" i="1" l="1"/>
  <c r="G289" i="1"/>
  <c r="G291" i="1" s="1"/>
</calcChain>
</file>

<file path=xl/sharedStrings.xml><?xml version="1.0" encoding="utf-8"?>
<sst xmlns="http://schemas.openxmlformats.org/spreadsheetml/2006/main" count="1118" uniqueCount="604">
  <si>
    <t>SANGI HOSPITAL</t>
  </si>
  <si>
    <t>MEDICINE BILL</t>
  </si>
  <si>
    <t>Date</t>
  </si>
  <si>
    <t>Description</t>
  </si>
  <si>
    <t>Batch No.</t>
  </si>
  <si>
    <t>Exp.</t>
  </si>
  <si>
    <t>Rate</t>
  </si>
  <si>
    <t>Qty.</t>
  </si>
  <si>
    <t>Amount</t>
  </si>
  <si>
    <t>MEDIFIX CANNULA</t>
  </si>
  <si>
    <t>05/27</t>
  </si>
  <si>
    <t>I.V.SET</t>
  </si>
  <si>
    <t>IV CANNULA 20</t>
  </si>
  <si>
    <t>INJ RIBZIFF 20MG</t>
  </si>
  <si>
    <t>11/27</t>
  </si>
  <si>
    <t>INJ CEFTAZIN AV 1.25GM</t>
  </si>
  <si>
    <t>INJ AVICREST 2.5</t>
  </si>
  <si>
    <r>
      <rPr>
        <sz val="12"/>
        <rFont val="Arial MT"/>
      </rPr>
      <t>8014002A</t>
    </r>
  </si>
  <si>
    <t>11/26</t>
  </si>
  <si>
    <t>INJ ETERNA 2ML</t>
  </si>
  <si>
    <r>
      <rPr>
        <sz val="12"/>
        <rFont val="Arial MT"/>
      </rPr>
      <t>TR44714</t>
    </r>
  </si>
  <si>
    <t>12/26</t>
  </si>
  <si>
    <t>INJ NEXIMOL 100ML</t>
  </si>
  <si>
    <r>
      <rPr>
        <sz val="12"/>
        <rFont val="Arial MT"/>
      </rPr>
      <t>2455H36</t>
    </r>
  </si>
  <si>
    <t>08/27</t>
  </si>
  <si>
    <t>INJ LASIX</t>
  </si>
  <si>
    <t>04/27</t>
  </si>
  <si>
    <t>INJ TRENAXA</t>
  </si>
  <si>
    <t>TN0046S1</t>
  </si>
  <si>
    <t>10/28</t>
  </si>
  <si>
    <t>INJ DERIPHYLLIN</t>
  </si>
  <si>
    <r>
      <rPr>
        <sz val="12"/>
        <rFont val="Arial MT"/>
      </rPr>
      <t>ET4491</t>
    </r>
  </si>
  <si>
    <t>12/27</t>
  </si>
  <si>
    <t>INJ SOLUMEDROL 125MG</t>
  </si>
  <si>
    <r>
      <rPr>
        <sz val="12"/>
        <rFont val="Arial MT"/>
      </rPr>
      <t>SF55869</t>
    </r>
  </si>
  <si>
    <t>09/27</t>
  </si>
  <si>
    <t>INJ REJUNURON FORTE</t>
  </si>
  <si>
    <r>
      <rPr>
        <sz val="12"/>
        <rFont val="Arial MT"/>
      </rPr>
      <t>FTR88274</t>
    </r>
  </si>
  <si>
    <t>TAB MONTAIR FX</t>
  </si>
  <si>
    <r>
      <rPr>
        <sz val="12"/>
        <rFont val="Arial MT"/>
      </rPr>
      <t>MONI2558</t>
    </r>
  </si>
  <si>
    <t>07/27</t>
  </si>
  <si>
    <t>TAB MARTIFUR MR</t>
  </si>
  <si>
    <r>
      <rPr>
        <sz val="12"/>
        <rFont val="Arial MT"/>
      </rPr>
      <t>HCT5527</t>
    </r>
  </si>
  <si>
    <t>02/27</t>
  </si>
  <si>
    <t>TAB URISPAS</t>
  </si>
  <si>
    <r>
      <rPr>
        <sz val="12"/>
        <rFont val="Arial MT"/>
      </rPr>
      <t>TUR-2287</t>
    </r>
  </si>
  <si>
    <t>06/27</t>
  </si>
  <si>
    <t>SYP ALKASOL</t>
  </si>
  <si>
    <r>
      <rPr>
        <sz val="12"/>
        <rFont val="Arial MT"/>
      </rPr>
      <t>AKJUI2563</t>
    </r>
  </si>
  <si>
    <t>03/27</t>
  </si>
  <si>
    <t>SYP TUSQ-DX SF</t>
  </si>
  <si>
    <t>ECG ELECTRODES</t>
  </si>
  <si>
    <r>
      <rPr>
        <sz val="12"/>
        <rFont val="Arial MT"/>
      </rPr>
      <t>18425F08M0</t>
    </r>
  </si>
  <si>
    <t>03/28</t>
  </si>
  <si>
    <t>EXTEENA TRIO</t>
  </si>
  <si>
    <r>
      <rPr>
        <sz val="12"/>
        <rFont val="Arial MT"/>
      </rPr>
      <t>G23710917</t>
    </r>
  </si>
  <si>
    <t>06/28</t>
  </si>
  <si>
    <t>FOLEY CATHETER 14</t>
  </si>
  <si>
    <r>
      <rPr>
        <sz val="12"/>
        <rFont val="Arial MT"/>
      </rPr>
      <t>SL475221</t>
    </r>
  </si>
  <si>
    <t>UROMETER</t>
  </si>
  <si>
    <t>12/29</t>
  </si>
  <si>
    <t>LOCAM JELLY</t>
  </si>
  <si>
    <r>
      <rPr>
        <sz val="12"/>
        <rFont val="Arial MT"/>
      </rPr>
      <t>LH228</t>
    </r>
  </si>
  <si>
    <t>AERO MIST (NEB.MASK)</t>
  </si>
  <si>
    <t>HI-MASK (ADULT)</t>
  </si>
  <si>
    <r>
      <rPr>
        <sz val="12"/>
        <rFont val="Arial MT"/>
      </rPr>
      <t>G230440525</t>
    </r>
  </si>
  <si>
    <t>NEB DUOLIN</t>
  </si>
  <si>
    <r>
      <rPr>
        <sz val="12"/>
        <rFont val="Arial MT"/>
      </rPr>
      <t>D474657</t>
    </r>
  </si>
  <si>
    <t>NEB BUDECORT</t>
  </si>
  <si>
    <t>SYRINGE 10 ML</t>
  </si>
  <si>
    <r>
      <rPr>
        <sz val="12"/>
        <rFont val="Arial MT"/>
      </rPr>
      <t>052410-AN</t>
    </r>
  </si>
  <si>
    <t>04/29</t>
  </si>
  <si>
    <t>SYRINGE 3ML</t>
  </si>
  <si>
    <r>
      <rPr>
        <sz val="12"/>
        <rFont val="Arial MT"/>
      </rPr>
      <t>032303Q</t>
    </r>
  </si>
  <si>
    <t>02/28</t>
  </si>
  <si>
    <t>SYRINGE 5 ML</t>
  </si>
  <si>
    <r>
      <rPr>
        <sz val="12"/>
        <rFont val="Arial MT"/>
      </rPr>
      <t>102305-AW</t>
    </r>
  </si>
  <si>
    <t>09/28</t>
  </si>
  <si>
    <t>RL 500ML</t>
  </si>
  <si>
    <r>
      <rPr>
        <sz val="12"/>
        <rFont val="Arial MT"/>
      </rPr>
      <t>R1SC334</t>
    </r>
  </si>
  <si>
    <t>NS 500 ML</t>
  </si>
  <si>
    <t>G00472</t>
  </si>
  <si>
    <t>NS 100ML</t>
  </si>
  <si>
    <r>
      <rPr>
        <sz val="12"/>
        <rFont val="Arial MT"/>
      </rPr>
      <t>RB1247F04</t>
    </r>
  </si>
  <si>
    <t>INJ MONOCEF 1GM</t>
  </si>
  <si>
    <t>M9904S2</t>
  </si>
  <si>
    <t>11/28</t>
  </si>
  <si>
    <t>INJ WEZOX 1.5GM</t>
  </si>
  <si>
    <t>HIZS25001A</t>
  </si>
  <si>
    <t>INJ MEROMET-TZ 1.125GM</t>
  </si>
  <si>
    <t>INJ NS-MERO TZ</t>
  </si>
  <si>
    <t>MD-0467L5</t>
  </si>
  <si>
    <t>08/28</t>
  </si>
  <si>
    <t>INJ MERANO-TZ 1.125GM</t>
  </si>
  <si>
    <t>MR-60027</t>
  </si>
  <si>
    <t>01/27</t>
  </si>
  <si>
    <t>INJ NEOMOL 100ML</t>
  </si>
  <si>
    <t>383T849</t>
  </si>
  <si>
    <t>INJ NEO-DROL 40MG</t>
  </si>
  <si>
    <t>TL-8864</t>
  </si>
  <si>
    <t>10/27</t>
  </si>
  <si>
    <t>INJ DOXYCIL 100MG</t>
  </si>
  <si>
    <t>H-00864</t>
  </si>
  <si>
    <t>INJ LESURIDE</t>
  </si>
  <si>
    <r>
      <rPr>
        <sz val="12"/>
        <rFont val="Arial MT"/>
      </rPr>
      <t>SD-4952</t>
    </r>
  </si>
  <si>
    <t>INJ MUCINAC</t>
  </si>
  <si>
    <t>H47775</t>
  </si>
  <si>
    <t>INJ FERIUM 500</t>
  </si>
  <si>
    <t>M-00764</t>
  </si>
  <si>
    <t>INJ ACIVIR 500</t>
  </si>
  <si>
    <t>84007CA</t>
  </si>
  <si>
    <t>INJ HEPAMERZ</t>
  </si>
  <si>
    <t>INJ GLUTAPEP 100ML IV</t>
  </si>
  <si>
    <r>
      <rPr>
        <sz val="12"/>
        <rFont val="Arial MT"/>
      </rPr>
      <t>TGF4B9</t>
    </r>
  </si>
  <si>
    <t>INJ GLUTA VEN 600MG</t>
  </si>
  <si>
    <t>INJ POTLYTE 15%</t>
  </si>
  <si>
    <t>K9922</t>
  </si>
  <si>
    <t>INJ FONDAZEST 2.5</t>
  </si>
  <si>
    <t>66472VD</t>
  </si>
  <si>
    <t>INJ UPRISE-D3 6L</t>
  </si>
  <si>
    <t>FC-50044</t>
  </si>
  <si>
    <t>INJ HUMAN ACTRAPID 40 I.U/ML</t>
  </si>
  <si>
    <t>INJ LANTUS</t>
  </si>
  <si>
    <t>DL44577</t>
  </si>
  <si>
    <t>INJ METROGYL 500MG</t>
  </si>
  <si>
    <t>HT1682544</t>
  </si>
  <si>
    <t>INJ LINOX 600</t>
  </si>
  <si>
    <t>LV44276</t>
  </si>
  <si>
    <t>INJ AXCOBIX 1.5</t>
  </si>
  <si>
    <t>INJ THIAMINE 100</t>
  </si>
  <si>
    <t>KF165</t>
  </si>
  <si>
    <t>INJ ORNICRIT</t>
  </si>
  <si>
    <r>
      <rPr>
        <sz val="11"/>
        <rFont val="Arial MT"/>
      </rPr>
      <t>C5R8946</t>
    </r>
  </si>
  <si>
    <t>INJ ALBUCEL 20%</t>
  </si>
  <si>
    <t>LA-99476</t>
  </si>
  <si>
    <t>INJ AMIKACIN 250MG</t>
  </si>
  <si>
    <t>AL0411M</t>
  </si>
  <si>
    <t>INJ BUSCOPAN</t>
  </si>
  <si>
    <t>NE165557</t>
  </si>
  <si>
    <t>12/28</t>
  </si>
  <si>
    <t>INJ CLARIMIN 500MG</t>
  </si>
  <si>
    <t>BL135004</t>
  </si>
  <si>
    <t>INJ DROTIN</t>
  </si>
  <si>
    <t>8846</t>
  </si>
  <si>
    <t>INJ CRESP 25MG</t>
  </si>
  <si>
    <t>PR9047</t>
  </si>
  <si>
    <t>INJ FOSFOFIC</t>
  </si>
  <si>
    <t>FR-026C4</t>
  </si>
  <si>
    <t>INJ LEVIPIL 5ML</t>
  </si>
  <si>
    <t>6647-SL</t>
  </si>
  <si>
    <t>INJ LINID IV 600MG</t>
  </si>
  <si>
    <t>INJ NEO-DROL 125MG</t>
  </si>
  <si>
    <t>H9947</t>
  </si>
  <si>
    <t>INJ NORAD 4MG</t>
  </si>
  <si>
    <t>LN-41775</t>
  </si>
  <si>
    <t>05/28</t>
  </si>
  <si>
    <t>INJ NOOTROPIL</t>
  </si>
  <si>
    <t>DN-88647</t>
  </si>
  <si>
    <t>09/29</t>
  </si>
  <si>
    <t>INJ SAMVEC 10MG</t>
  </si>
  <si>
    <t>5575SM</t>
  </si>
  <si>
    <t>INJ SODA BI CARB 25ML</t>
  </si>
  <si>
    <t>INJ STROCIT</t>
  </si>
  <si>
    <t>SE8864</t>
  </si>
  <si>
    <t>INJ TERLISTAT 1MG</t>
  </si>
  <si>
    <t>TR-5576</t>
  </si>
  <si>
    <t>INJ TAZACT 4.5GM</t>
  </si>
  <si>
    <t>HF-465005</t>
  </si>
  <si>
    <t>INJ MANNITOL 20%</t>
  </si>
  <si>
    <t>LM-8864</t>
  </si>
  <si>
    <t>TAB THYROX 150MCG</t>
  </si>
  <si>
    <t>8642771-L</t>
  </si>
  <si>
    <t>TAB THYROX 100MCG</t>
  </si>
  <si>
    <t>AH-88421</t>
  </si>
  <si>
    <t>TAB THYROX 50MCG</t>
  </si>
  <si>
    <t>S-0086</t>
  </si>
  <si>
    <t>TAB THYROX 25MCG</t>
  </si>
  <si>
    <t>T4762004</t>
  </si>
  <si>
    <t>TAB THYROX 75MCG</t>
  </si>
  <si>
    <t>TR-99047</t>
  </si>
  <si>
    <t>TAB EXTRAMAX</t>
  </si>
  <si>
    <r>
      <rPr>
        <sz val="12"/>
        <rFont val="Arial MT"/>
      </rPr>
      <t>ECTU25639</t>
    </r>
  </si>
  <si>
    <t>TAB OROFER XT</t>
  </si>
  <si>
    <t>F-00452CL</t>
  </si>
  <si>
    <t>TAB CARIPILL</t>
  </si>
  <si>
    <t>K0074D6</t>
  </si>
  <si>
    <t>TAB NEFROSAVE</t>
  </si>
  <si>
    <t>LN-86471</t>
  </si>
  <si>
    <t>02/29</t>
  </si>
  <si>
    <t>TAB FEBUSTAT 40MG</t>
  </si>
  <si>
    <t>HS15112</t>
  </si>
  <si>
    <t>TAB ZYLORIC 100MG</t>
  </si>
  <si>
    <t>55421LM</t>
  </si>
  <si>
    <t>TAB ZYLORIC 300MG</t>
  </si>
  <si>
    <t>RL321004</t>
  </si>
  <si>
    <t>03/29</t>
  </si>
  <si>
    <t>TAB NATRISE</t>
  </si>
  <si>
    <t>TR-006452</t>
  </si>
  <si>
    <t>TAB SHELCAL XT</t>
  </si>
  <si>
    <r>
      <rPr>
        <sz val="12"/>
        <rFont val="Arial MT"/>
      </rPr>
      <t>SHELX7890</t>
    </r>
  </si>
  <si>
    <t>TAB CCM</t>
  </si>
  <si>
    <t>SH-7732132</t>
  </si>
  <si>
    <t>TAB UDILIV 300MG</t>
  </si>
  <si>
    <t>5547-VD</t>
  </si>
  <si>
    <t>TAB HEPTRAL 400MG</t>
  </si>
  <si>
    <t>HL86422</t>
  </si>
  <si>
    <t>TL-465121</t>
  </si>
  <si>
    <t>10/29</t>
  </si>
  <si>
    <t>TAB ATORVA 20MG</t>
  </si>
  <si>
    <t>FA27548</t>
  </si>
  <si>
    <t>TAB ATORVA F</t>
  </si>
  <si>
    <t>TAB ROSUVAS 20</t>
  </si>
  <si>
    <t>NP-99764</t>
  </si>
  <si>
    <t>CAP ECOPSRIN AV 75/10</t>
  </si>
  <si>
    <t>VE31442</t>
  </si>
  <si>
    <t>TAB ECOSPRIN 75</t>
  </si>
  <si>
    <t>ECOS7890</t>
  </si>
  <si>
    <t>CAP ECOSPRIN AV 75/20</t>
  </si>
  <si>
    <t>CAP ECOSPRIN GOLD 20</t>
  </si>
  <si>
    <t>LC-443188</t>
  </si>
  <si>
    <t>TAB DEPLATT 75</t>
  </si>
  <si>
    <t>LD31455</t>
  </si>
  <si>
    <t>TAB ECOSPRIN 150</t>
  </si>
  <si>
    <t>FN935712</t>
  </si>
  <si>
    <t>TAB CLOPITAB 75</t>
  </si>
  <si>
    <t>BS-7754005</t>
  </si>
  <si>
    <t>TAB ATORVA 40MG</t>
  </si>
  <si>
    <t>AT6641</t>
  </si>
  <si>
    <t>TAB SORBITRATE 5</t>
  </si>
  <si>
    <t>TS45231</t>
  </si>
  <si>
    <t>TAB LINAPIL 5MG</t>
  </si>
  <si>
    <t>PJ-886411</t>
  </si>
  <si>
    <t>TAB MET XL 50</t>
  </si>
  <si>
    <t>MEL6789</t>
  </si>
  <si>
    <t>TAB ULTRACET</t>
  </si>
  <si>
    <t>LMND21653</t>
  </si>
  <si>
    <t>TAB MEDROL 8MG</t>
  </si>
  <si>
    <t>PC-8846177</t>
  </si>
  <si>
    <t>TAB HCQS 200MG</t>
  </si>
  <si>
    <t>L-00865</t>
  </si>
  <si>
    <t>CAP VIZYLAC</t>
  </si>
  <si>
    <t>NV1681555</t>
  </si>
  <si>
    <t>TAB SITAPRIDE-M 50/500</t>
  </si>
  <si>
    <t>BM-55427</t>
  </si>
  <si>
    <t>TAB DAPA 10MG</t>
  </si>
  <si>
    <t>L77612</t>
  </si>
  <si>
    <t>TAB DAROLAC</t>
  </si>
  <si>
    <t>667558</t>
  </si>
  <si>
    <t>TAB AMARYL M2</t>
  </si>
  <si>
    <t>AM4956363</t>
  </si>
  <si>
    <t>07/28</t>
  </si>
  <si>
    <t>TAB AMARYL M1</t>
  </si>
  <si>
    <t>5NG412</t>
  </si>
  <si>
    <t>TAB GLIMISAVE M 1</t>
  </si>
  <si>
    <t>GL213211</t>
  </si>
  <si>
    <t>TAB GLIMISAVE M 2</t>
  </si>
  <si>
    <t>P22452</t>
  </si>
  <si>
    <t>TAB ISTAMET 50/500</t>
  </si>
  <si>
    <t>ITSG345</t>
  </si>
  <si>
    <t>TAB TENVIR-AF</t>
  </si>
  <si>
    <t>AT-008L1</t>
  </si>
  <si>
    <t>CAP UPRISE D3 60K</t>
  </si>
  <si>
    <t>DU-88642</t>
  </si>
  <si>
    <t>CAP REDOTIL 100MG</t>
  </si>
  <si>
    <t>04/28</t>
  </si>
  <si>
    <t>RES ENTEROGERMINA</t>
  </si>
  <si>
    <t>EV668</t>
  </si>
  <si>
    <t>ORS LIQUID</t>
  </si>
  <si>
    <t>594</t>
  </si>
  <si>
    <t>TAB DULCOLAX</t>
  </si>
  <si>
    <t>88575</t>
  </si>
  <si>
    <t>TAB DYTOR 10</t>
  </si>
  <si>
    <t>TD452120</t>
  </si>
  <si>
    <t>TAB PREGABA NT</t>
  </si>
  <si>
    <t>T-88604</t>
  </si>
  <si>
    <t>TAB AMLOPRES 5</t>
  </si>
  <si>
    <t>55N0366</t>
  </si>
  <si>
    <t>01/28</t>
  </si>
  <si>
    <t>TAB AKT 4</t>
  </si>
  <si>
    <t>TAB AKT 3</t>
  </si>
  <si>
    <t>AT897245C</t>
  </si>
  <si>
    <t>CAP URIMAX 0.4</t>
  </si>
  <si>
    <t>US165772</t>
  </si>
  <si>
    <t>08/29</t>
  </si>
  <si>
    <t>TAB METROGYL ER 600</t>
  </si>
  <si>
    <t>ME16526</t>
  </si>
  <si>
    <t>TAB NAXDOM 250MG</t>
  </si>
  <si>
    <t>VX-46188</t>
  </si>
  <si>
    <t>TAB NAXDOM 500MG</t>
  </si>
  <si>
    <t>KE54577</t>
  </si>
  <si>
    <t>TAB AMLONG 5MG</t>
  </si>
  <si>
    <t>AML54678</t>
  </si>
  <si>
    <t>11/29</t>
  </si>
  <si>
    <t>TAB ALLEGRA 120MG</t>
  </si>
  <si>
    <t>AZ-8564</t>
  </si>
  <si>
    <t>TAB ALLEGRA 180MG</t>
  </si>
  <si>
    <t>T-46544S6</t>
  </si>
  <si>
    <t>TAB LIBRIUM 10MG</t>
  </si>
  <si>
    <t>RV1865320</t>
  </si>
  <si>
    <t>TAB NEO-MERCAZOLE</t>
  </si>
  <si>
    <t>RL-004628</t>
  </si>
  <si>
    <t>TAB BENADON</t>
  </si>
  <si>
    <t>HS1699</t>
  </si>
  <si>
    <t>TAB AZEE 250MG</t>
  </si>
  <si>
    <t>4476A</t>
  </si>
  <si>
    <t>TAB AZEE 500MG</t>
  </si>
  <si>
    <t>H-89644</t>
  </si>
  <si>
    <t>TAB MIGON</t>
  </si>
  <si>
    <t>NL-47005</t>
  </si>
  <si>
    <t>TAB ACICLOVIR 800MG</t>
  </si>
  <si>
    <t>VA0577R3</t>
  </si>
  <si>
    <t>TAB BRILINTA 90MG</t>
  </si>
  <si>
    <t>LB-440R2</t>
  </si>
  <si>
    <t>TAB CARDIVAS 3.125</t>
  </si>
  <si>
    <t>CD-77652</t>
  </si>
  <si>
    <t>TAB FLEXON MR</t>
  </si>
  <si>
    <t>77685-DL</t>
  </si>
  <si>
    <t>TAB CHYMORAL FORTE</t>
  </si>
  <si>
    <t>27064-SC</t>
  </si>
  <si>
    <t>TAB CLARIBID 500MG</t>
  </si>
  <si>
    <t>TA554755</t>
  </si>
  <si>
    <t>TAB CLARIBID 250MG</t>
  </si>
  <si>
    <t>LC165111</t>
  </si>
  <si>
    <t>TAB DEFCORT 6 MG</t>
  </si>
  <si>
    <t>MG68155</t>
  </si>
  <si>
    <t>TAB CLONAFIT 0.5 MD</t>
  </si>
  <si>
    <t>CL-4472</t>
  </si>
  <si>
    <t>TAB CLONAFIT 0.25 MG</t>
  </si>
  <si>
    <t>G-00686</t>
  </si>
  <si>
    <t>TAB DOXOLIN 200MG</t>
  </si>
  <si>
    <t>LM-47522</t>
  </si>
  <si>
    <t>TAB DYTOR PLUS</t>
  </si>
  <si>
    <t>DYT-5369</t>
  </si>
  <si>
    <t>TAB CONCOR 5</t>
  </si>
  <si>
    <t>8864711</t>
  </si>
  <si>
    <t>TAB ELTROXIN 25MCG</t>
  </si>
  <si>
    <t>EL-88462</t>
  </si>
  <si>
    <t>TAB ELTROXIN 50MCG</t>
  </si>
  <si>
    <t>K55408</t>
  </si>
  <si>
    <t>TAB ELTROXIN 100MCG</t>
  </si>
  <si>
    <t>LE16511</t>
  </si>
  <si>
    <t>TAB FARONEM ER 300MG</t>
  </si>
  <si>
    <t>NL181522</t>
  </si>
  <si>
    <t>TAB FLAVEDON MR</t>
  </si>
  <si>
    <t>LF31577</t>
  </si>
  <si>
    <t>TAB MINIPRESS XL 2.5</t>
  </si>
  <si>
    <t>HN-88506</t>
  </si>
  <si>
    <t>TAB GABAPIN NT</t>
  </si>
  <si>
    <t>G216512</t>
  </si>
  <si>
    <t>TAB HEPAMERZ</t>
  </si>
  <si>
    <t>LH-447000</t>
  </si>
  <si>
    <t>TAB JANUMET 50/500</t>
  </si>
  <si>
    <t>66172LS</t>
  </si>
  <si>
    <t>TAB LEVIPILL</t>
  </si>
  <si>
    <t>LIO369</t>
  </si>
  <si>
    <t>01/29</t>
  </si>
  <si>
    <t>TAB LINID 600MG</t>
  </si>
  <si>
    <t>DS465123</t>
  </si>
  <si>
    <t>TAB MARTIFUR MR 50MG</t>
  </si>
  <si>
    <t>MR-0026</t>
  </si>
  <si>
    <t>TAB METROGYL 200MG</t>
  </si>
  <si>
    <t>MT447L</t>
  </si>
  <si>
    <t>TAB METROGYL 400MG</t>
  </si>
  <si>
    <t>LC-7746111</t>
  </si>
  <si>
    <t>TAB COMBUTOL 800MG</t>
  </si>
  <si>
    <t>PF-0086474</t>
  </si>
  <si>
    <t>TAB ZINCOVIT</t>
  </si>
  <si>
    <t>N-00654A2</t>
  </si>
  <si>
    <t>TAB TRYPTOMER 10MG</t>
  </si>
  <si>
    <t>V-55417</t>
  </si>
  <si>
    <t>TAB MONTAIR LC KID</t>
  </si>
  <si>
    <t>46722CM</t>
  </si>
  <si>
    <t>TAB MUCINAC 600MG</t>
  </si>
  <si>
    <t>JDS6811</t>
  </si>
  <si>
    <t>TAB NEXITO PLUS</t>
  </si>
  <si>
    <t>HT16520</t>
  </si>
  <si>
    <t>TAB NEFROSOL</t>
  </si>
  <si>
    <t>DS230460</t>
  </si>
  <si>
    <t>MONUROL GRANULES</t>
  </si>
  <si>
    <t>FF-884214</t>
  </si>
  <si>
    <t>TAB PAN 20</t>
  </si>
  <si>
    <t>66472</t>
  </si>
  <si>
    <t>TAB NEUROBION FORTE</t>
  </si>
  <si>
    <t>8675550-D</t>
  </si>
  <si>
    <t>TAB NUCOXIA MR</t>
  </si>
  <si>
    <t>TAB OFLOX OZ</t>
  </si>
  <si>
    <t>RN-00744</t>
  </si>
  <si>
    <t>TAB REHEPTIN</t>
  </si>
  <si>
    <t>RT-55720</t>
  </si>
  <si>
    <t>TAB SIGNOFLAM</t>
  </si>
  <si>
    <t>TAB TELMA-AM H</t>
  </si>
  <si>
    <t>TAB TELMA AM</t>
  </si>
  <si>
    <t>18240791</t>
  </si>
  <si>
    <t>TAB TELMA 40MG</t>
  </si>
  <si>
    <t>NL3420</t>
  </si>
  <si>
    <t>TAB LESURIDE 25MG</t>
  </si>
  <si>
    <t>DL16511</t>
  </si>
  <si>
    <t>TAB LEVOFLOX 500MG</t>
  </si>
  <si>
    <t>VM168772</t>
  </si>
  <si>
    <t>TAB UDILIV 150MG</t>
  </si>
  <si>
    <t>UDL-405246</t>
  </si>
  <si>
    <t>TAB RIFAGUT 550MG</t>
  </si>
  <si>
    <t>L-9547</t>
  </si>
  <si>
    <t>TAB TRENAXA 500MG</t>
  </si>
  <si>
    <t>46824200</t>
  </si>
  <si>
    <t>TAB URIMAX D</t>
  </si>
  <si>
    <t>TS-6659</t>
  </si>
  <si>
    <t>TAB VERTIN 16MG</t>
  </si>
  <si>
    <t>VL138551</t>
  </si>
  <si>
    <t>TAB VERTIN 8MG</t>
  </si>
  <si>
    <t>F55L75</t>
  </si>
  <si>
    <t>TAB ZERODOL-SP</t>
  </si>
  <si>
    <t>R5465D56</t>
  </si>
  <si>
    <t>HAEMACCEL</t>
  </si>
  <si>
    <t>994752</t>
  </si>
  <si>
    <t>OINT GANCIGEL</t>
  </si>
  <si>
    <t>L-G227</t>
  </si>
  <si>
    <t>SYP LIV 52</t>
  </si>
  <si>
    <t>UL16505</t>
  </si>
  <si>
    <t>SYP APTIVATE</t>
  </si>
  <si>
    <t>PL14222</t>
  </si>
  <si>
    <t>SYP POTKLOR 200ML</t>
  </si>
  <si>
    <t>SLP0047</t>
  </si>
  <si>
    <t>SYP SPARACID DS</t>
  </si>
  <si>
    <t>SYP CREMAFFIN PLUS</t>
  </si>
  <si>
    <t>LV-770060</t>
  </si>
  <si>
    <t>SYP M2-TONE</t>
  </si>
  <si>
    <t>TM-9927</t>
  </si>
  <si>
    <t>SYP LUPIZYME PLUS</t>
  </si>
  <si>
    <t>PL-77462</t>
  </si>
  <si>
    <t>SYP NEERI KFT</t>
  </si>
  <si>
    <t>NL131119</t>
  </si>
  <si>
    <t>SYP SUCRAL-O</t>
  </si>
  <si>
    <t>GS992741</t>
  </si>
  <si>
    <t>SYP VENTRYL-D</t>
  </si>
  <si>
    <t>F004710</t>
  </si>
  <si>
    <t>DC887556</t>
  </si>
  <si>
    <t>DYNAPAR QPS</t>
  </si>
  <si>
    <t>L-99472</t>
  </si>
  <si>
    <t>INSULIN SYRING 1ML</t>
  </si>
  <si>
    <t>330014AF</t>
  </si>
  <si>
    <t>ACCU-STRIPS</t>
  </si>
  <si>
    <t>ACC2563</t>
  </si>
  <si>
    <t>B.T. SET</t>
  </si>
  <si>
    <t>G230320628</t>
  </si>
  <si>
    <t>CENTRAL VENOUS CATH. KIT</t>
  </si>
  <si>
    <t>23124506</t>
  </si>
  <si>
    <t>CVP MANOMETER</t>
  </si>
  <si>
    <t>V6615542</t>
  </si>
  <si>
    <t>DNS 500ML</t>
  </si>
  <si>
    <t>S1SC392</t>
  </si>
  <si>
    <t>E.T. TUBE 7.5</t>
  </si>
  <si>
    <t>G25SE010786</t>
  </si>
  <si>
    <t>04/30</t>
  </si>
  <si>
    <t>EXTENSION LINE</t>
  </si>
  <si>
    <t>4280103</t>
  </si>
  <si>
    <t>FOURDERM CREAM</t>
  </si>
  <si>
    <t>498612</t>
  </si>
  <si>
    <t>GLUVES 7</t>
  </si>
  <si>
    <t>25G0117KK</t>
  </si>
  <si>
    <t>06/30</t>
  </si>
  <si>
    <t>HME FILTER</t>
  </si>
  <si>
    <t>G230540735</t>
  </si>
  <si>
    <t>K-BIND SHACHET</t>
  </si>
  <si>
    <t>BRB1150</t>
  </si>
  <si>
    <t>NORMAL SALINE (0.45% W/V) 500</t>
  </si>
  <si>
    <t>52950056</t>
  </si>
  <si>
    <t>NORMAL SALINE 500ML</t>
  </si>
  <si>
    <t>N1SC663</t>
  </si>
  <si>
    <t>P.M. LINE 200</t>
  </si>
  <si>
    <t>G25F10036</t>
  </si>
  <si>
    <t>05/30</t>
  </si>
  <si>
    <t>PMO LINE</t>
  </si>
  <si>
    <t>24050863</t>
  </si>
  <si>
    <t>POP BANDAGE</t>
  </si>
  <si>
    <t>RYLES TUBE 16</t>
  </si>
  <si>
    <t>G25D010333</t>
  </si>
  <si>
    <t>03/30</t>
  </si>
  <si>
    <t>SUCTION CATHETER 14</t>
  </si>
  <si>
    <t>G25F010464</t>
  </si>
  <si>
    <t>SUCTION CATHETER 16</t>
  </si>
  <si>
    <t>G24H011115</t>
  </si>
  <si>
    <t>07/29</t>
  </si>
  <si>
    <t>TRIPLE LUMEN CVC LA-MED</t>
  </si>
  <si>
    <t>2503309</t>
  </si>
  <si>
    <t>02/30</t>
  </si>
  <si>
    <t>VACCU SUCTION SET</t>
  </si>
  <si>
    <t>2524001</t>
  </si>
  <si>
    <t>VENTILATOR CIRCUIT</t>
  </si>
  <si>
    <t>25F090</t>
  </si>
  <si>
    <t>VIGGO 20</t>
  </si>
  <si>
    <t>G25C011168</t>
  </si>
  <si>
    <t>VIGGO 22</t>
  </si>
  <si>
    <t>G25G010535</t>
  </si>
  <si>
    <t>28/03/2026</t>
  </si>
  <si>
    <t>TAB FARONEM 200MG</t>
  </si>
  <si>
    <t>VR75249</t>
  </si>
  <si>
    <t>TAB AUGMENTIN 375</t>
  </si>
  <si>
    <t>R008822</t>
  </si>
  <si>
    <t>TAB AUGMENTIN 625</t>
  </si>
  <si>
    <t>TAB CEFTUM 500</t>
  </si>
  <si>
    <t>TAB DOLO 650</t>
  </si>
  <si>
    <t>TAB DOLO 500</t>
  </si>
  <si>
    <t>867411</t>
  </si>
  <si>
    <t>TAB PAN-D</t>
  </si>
  <si>
    <t>AD-4425</t>
  </si>
  <si>
    <t>HCT5527</t>
  </si>
  <si>
    <t>MONI2558</t>
  </si>
  <si>
    <t>TAB PULMOCLEAR</t>
  </si>
  <si>
    <t>TAB DOXOLIN 400MG</t>
  </si>
  <si>
    <t>F77685</t>
  </si>
  <si>
    <t>TAB GLUCONORM G 0.5/500</t>
  </si>
  <si>
    <t>TAB TRYPTOMER 25MG</t>
  </si>
  <si>
    <t>TOTAL</t>
  </si>
  <si>
    <t>DISCHARGE MEDICINE TOTAL</t>
  </si>
  <si>
    <t>GRAND TOTAL</t>
  </si>
  <si>
    <t>(Authorized Signatory)</t>
  </si>
  <si>
    <t xml:space="preserve">
SANGI HOSPITAL</t>
  </si>
  <si>
    <t>84886472</t>
  </si>
  <si>
    <t>W-00854</t>
  </si>
  <si>
    <t>774-LD</t>
  </si>
  <si>
    <t>TL-554G8</t>
  </si>
  <si>
    <t>TG-88022</t>
  </si>
  <si>
    <t>DH8S2028</t>
  </si>
  <si>
    <t>P554L71</t>
  </si>
  <si>
    <t>D-9947R</t>
  </si>
  <si>
    <t>M49699-E4</t>
  </si>
  <si>
    <t>C-664</t>
  </si>
  <si>
    <t>SD2666</t>
  </si>
  <si>
    <t>2805G</t>
  </si>
  <si>
    <t>U-77541</t>
  </si>
  <si>
    <t>DA546004</t>
  </si>
  <si>
    <t>GV-88041</t>
  </si>
  <si>
    <t>55417FF</t>
  </si>
  <si>
    <t>L-C7125</t>
  </si>
  <si>
    <t>F-85412</t>
  </si>
  <si>
    <t>85647</t>
  </si>
  <si>
    <t>TAB METFOR 500MG</t>
  </si>
  <si>
    <t>64005S</t>
  </si>
  <si>
    <t>N-771002</t>
  </si>
  <si>
    <t>5572-D6</t>
  </si>
  <si>
    <t>LA-0075</t>
  </si>
  <si>
    <t>RTL6648</t>
  </si>
  <si>
    <t>TAB RENOLIFE</t>
  </si>
  <si>
    <t>LS11934</t>
  </si>
  <si>
    <t>TAB MIDORA</t>
  </si>
  <si>
    <t>MR884462</t>
  </si>
  <si>
    <t>TAB MEDROL 16MG</t>
  </si>
  <si>
    <t>DL5161</t>
  </si>
  <si>
    <t>TAB GLYIPY MET 500/50</t>
  </si>
  <si>
    <t>C-004712</t>
  </si>
  <si>
    <t>TAB FOLITRAX 15</t>
  </si>
  <si>
    <t>D-006641</t>
  </si>
  <si>
    <t>TAB FEBUGET 40</t>
  </si>
  <si>
    <t>SIG0744A</t>
  </si>
  <si>
    <t>TAB ATORVA 10MG</t>
  </si>
  <si>
    <t>SYRINGE 50 ML</t>
  </si>
  <si>
    <t>112350-K</t>
  </si>
  <si>
    <t>SYP NEERI</t>
  </si>
  <si>
    <t>ST88763</t>
  </si>
  <si>
    <t>SYP MONTAIR KID</t>
  </si>
  <si>
    <t>NT44152</t>
  </si>
  <si>
    <t>SYP ASTHAKIND DX</t>
  </si>
  <si>
    <t>FS6285</t>
  </si>
  <si>
    <t>SYP ASTHAKIND LS</t>
  </si>
  <si>
    <t>L-7225</t>
  </si>
  <si>
    <t>SILK 2-0 NW5036</t>
  </si>
  <si>
    <t>VA4011</t>
  </si>
  <si>
    <t>INJ LOX 2% 30ML</t>
  </si>
  <si>
    <t>SM144674</t>
  </si>
  <si>
    <t>INJ KEFUZID AV</t>
  </si>
  <si>
    <t>AB905002B</t>
  </si>
  <si>
    <t>INJ KEFZONE S PLUS 1.5GM</t>
  </si>
  <si>
    <t>AB235002B</t>
  </si>
  <si>
    <t xml:space="preserve">INJ HYDROCORT 100MG </t>
  </si>
  <si>
    <t>TA47232</t>
  </si>
  <si>
    <t>INJ INCLAN 4ML</t>
  </si>
  <si>
    <t>ABC05</t>
  </si>
  <si>
    <t>INJ INJEK 10MG</t>
  </si>
  <si>
    <t>INJ KABILYTE 500ML</t>
  </si>
  <si>
    <t>82UF689602</t>
  </si>
  <si>
    <t>INJ DOMIN</t>
  </si>
  <si>
    <t>V639093</t>
  </si>
  <si>
    <t>INJ DEXTROSE 25% 100ML</t>
  </si>
  <si>
    <t>G35A07</t>
  </si>
  <si>
    <t>INJ COL 3MIU</t>
  </si>
  <si>
    <t>AB240406E</t>
  </si>
  <si>
    <t>CL15227</t>
  </si>
  <si>
    <t>HYAICARE EYE DROP</t>
  </si>
  <si>
    <t>OLD25003ES</t>
  </si>
  <si>
    <t>HEXIDENE GARGEL 160ML</t>
  </si>
  <si>
    <t>L25130</t>
  </si>
  <si>
    <t>FEEDING BAG 1200ML</t>
  </si>
  <si>
    <t>G25C010850</t>
  </si>
  <si>
    <t>DISP. NEEDLE 18</t>
  </si>
  <si>
    <t>G25A020813</t>
  </si>
  <si>
    <t>DIALAFLOW REGULATER</t>
  </si>
  <si>
    <t>COTTON 500GM</t>
  </si>
  <si>
    <t>CLOCIP POWDER</t>
  </si>
  <si>
    <t>MAZ434</t>
  </si>
  <si>
    <t>CANNULA FIXATOR</t>
  </si>
  <si>
    <t>CF31B</t>
  </si>
  <si>
    <t>SYRING 50ML</t>
  </si>
  <si>
    <t>G25E020228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</si>
</sst>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28"/>
      <color rgb="FF000000"/>
      <name val="Arial MT"/>
    </font>
    <font>
      <sz val="10"/>
      <color rgb="FF000000"/>
      <name val="Arial MT"/>
    </font>
    <font>
      <b/>
      <sz val="20"/>
      <color rgb="FF000000"/>
      <name val="Arial MT"/>
    </font>
    <font>
      <b/>
      <sz val="18"/>
      <color rgb="FF000000"/>
      <name val="Arial MT"/>
    </font>
    <font>
      <sz val="10"/>
      <color rgb="FF000000"/>
      <name val="Times New Roman"/>
      <family val="1"/>
    </font>
    <font>
      <sz val="10"/>
      <name val="Arial MT"/>
    </font>
    <font>
      <b/>
      <sz val="12"/>
      <name val="Arial MT"/>
    </font>
    <font>
      <sz val="12"/>
      <color rgb="FF000000"/>
      <name val="Arial MT"/>
    </font>
    <font>
      <sz val="12"/>
      <name val="Arial MT"/>
    </font>
    <font>
      <sz val="11"/>
      <name val="Arial MT"/>
    </font>
    <font>
      <b/>
      <sz val="12"/>
      <color rgb="FF000000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0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2" xfId="1" applyFont="1" applyFill="1" applyBorder="1" applyAlignment="1">
      <alignment horizontal="left" vertical="center" wrapText="1"/>
    </xf>
    <xf numFmtId="0" fontId="8" fillId="0" borderId="2" xfId="1" applyFont="1" applyFill="1" applyBorder="1" applyAlignment="1">
      <alignment horizontal="left" vertical="center" wrapText="1"/>
    </xf>
    <xf numFmtId="0" fontId="8" fillId="0" borderId="2" xfId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49" fontId="8" fillId="0" borderId="13" xfId="0" applyNumberFormat="1" applyFont="1" applyFill="1" applyBorder="1" applyAlignment="1">
      <alignment horizontal="center" vertical="center" shrinkToFit="1"/>
    </xf>
    <xf numFmtId="0" fontId="9" fillId="0" borderId="14" xfId="0" applyFont="1" applyFill="1" applyBorder="1" applyAlignment="1">
      <alignment horizontal="left" vertical="center"/>
    </xf>
    <xf numFmtId="49" fontId="8" fillId="0" borderId="14" xfId="0" applyNumberFormat="1" applyFont="1" applyFill="1" applyBorder="1" applyAlignment="1">
      <alignment horizontal="center" vertical="center" shrinkToFit="1"/>
    </xf>
    <xf numFmtId="49" fontId="9" fillId="0" borderId="15" xfId="0" applyNumberFormat="1" applyFont="1" applyFill="1" applyBorder="1" applyAlignment="1">
      <alignment horizontal="center" vertical="center" wrapText="1"/>
    </xf>
    <xf numFmtId="2" fontId="8" fillId="0" borderId="14" xfId="0" applyNumberFormat="1" applyFont="1" applyFill="1" applyBorder="1" applyAlignment="1">
      <alignment horizontal="center" vertical="center" shrinkToFit="1"/>
    </xf>
    <xf numFmtId="1" fontId="8" fillId="0" borderId="15" xfId="0" applyNumberFormat="1" applyFont="1" applyFill="1" applyBorder="1" applyAlignment="1">
      <alignment horizontal="center" vertical="center" shrinkToFit="1"/>
    </xf>
    <xf numFmtId="2" fontId="8" fillId="0" borderId="15" xfId="0" applyNumberFormat="1" applyFont="1" applyFill="1" applyBorder="1" applyAlignment="1">
      <alignment horizontal="center" vertical="center" shrinkToFit="1"/>
    </xf>
    <xf numFmtId="49" fontId="9" fillId="0" borderId="14" xfId="0" applyNumberFormat="1" applyFont="1" applyFill="1" applyBorder="1" applyAlignment="1">
      <alignment horizontal="center" vertical="center" shrinkToFit="1"/>
    </xf>
    <xf numFmtId="49" fontId="9" fillId="0" borderId="15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/>
    </xf>
    <xf numFmtId="49" fontId="8" fillId="0" borderId="11" xfId="0" applyNumberFormat="1" applyFont="1" applyFill="1" applyBorder="1" applyAlignment="1">
      <alignment horizontal="center" vertical="center" shrinkToFit="1"/>
    </xf>
    <xf numFmtId="2" fontId="8" fillId="0" borderId="1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left" vertical="center"/>
    </xf>
    <xf numFmtId="4" fontId="8" fillId="0" borderId="16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horizontal="left" vertical="center"/>
    </xf>
    <xf numFmtId="49" fontId="9" fillId="0" borderId="1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C00ED5BE-9951-46AB-8E75-CA5D8DCCD2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NGI_BILL_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INAL"/>
      <sheetName val="MEDICINE"/>
      <sheetName val="LAB"/>
    </sheetNames>
    <sheetDataSet>
      <sheetData sheetId="0"/>
      <sheetData sheetId="1">
        <row r="2">
          <cell r="A2" t="str">
            <v>IPD No. : SHL/ESIC/26/305</v>
          </cell>
        </row>
        <row r="3">
          <cell r="A3" t="str">
            <v xml:space="preserve">Patient Name : MR. HARVENDRA </v>
          </cell>
        </row>
        <row r="4">
          <cell r="E4" t="str">
            <v>Age/Sex : 27 YRS / MALE</v>
          </cell>
        </row>
        <row r="7">
          <cell r="E7" t="str">
            <v>Panel : ESIC</v>
          </cell>
        </row>
        <row r="8">
          <cell r="A8" t="str">
            <v>DOA &amp; Time : 22/03/2026 AT 18:50 HRS</v>
          </cell>
        </row>
        <row r="9">
          <cell r="A9" t="str">
            <v>DOD &amp; Time : 28/03/2026 AT 10:55 HRS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200A-3569-43BD-AC62-D0E97F2C4950}">
  <dimension ref="A1:G324"/>
  <sheetViews>
    <sheetView tabSelected="1" zoomScaleNormal="100" workbookViewId="0">
      <selection activeCell="B15" sqref="B15"/>
    </sheetView>
  </sheetViews>
  <sheetFormatPr defaultRowHeight="24" customHeight="1"/>
  <cols>
    <col min="1" max="1" width="18.7109375" style="32" customWidth="1"/>
    <col min="2" max="2" width="37.7109375" style="1" customWidth="1"/>
    <col min="3" max="3" width="18.7109375" style="1" customWidth="1"/>
    <col min="4" max="5" width="15.7109375" style="1" customWidth="1"/>
    <col min="6" max="6" width="10.7109375" style="1" customWidth="1"/>
    <col min="7" max="7" width="18.7109375" style="1" customWidth="1"/>
    <col min="8" max="16384" width="9.140625" style="1"/>
  </cols>
  <sheetData>
    <row r="1" spans="1:7" ht="24" customHeight="1">
      <c r="A1" s="42" t="s">
        <v>0</v>
      </c>
      <c r="B1" s="42"/>
      <c r="C1" s="42"/>
      <c r="D1" s="42"/>
      <c r="E1" s="42"/>
      <c r="F1" s="42"/>
      <c r="G1" s="42"/>
    </row>
    <row r="2" spans="1:7" ht="12" customHeight="1">
      <c r="A2" s="2"/>
      <c r="B2" s="2"/>
      <c r="C2" s="2"/>
      <c r="D2" s="2"/>
      <c r="E2" s="2"/>
      <c r="F2" s="2"/>
      <c r="G2" s="2"/>
    </row>
    <row r="3" spans="1:7" ht="24" customHeight="1">
      <c r="A3" s="43" t="s">
        <v>1</v>
      </c>
      <c r="B3" s="43"/>
      <c r="C3" s="43"/>
      <c r="D3" s="43"/>
      <c r="E3" s="43"/>
      <c r="F3" s="43"/>
      <c r="G3" s="43"/>
    </row>
    <row r="4" spans="1:7" s="5" customFormat="1" ht="12" customHeight="1">
      <c r="A4" s="3"/>
      <c r="B4" s="4"/>
      <c r="C4" s="4"/>
      <c r="D4" s="4"/>
      <c r="E4" s="4"/>
      <c r="F4" s="4"/>
    </row>
    <row r="5" spans="1:7" s="6" customFormat="1" ht="24" customHeight="1">
      <c r="A5" s="34" t="str">
        <f>[1]FINAL!A3</f>
        <v xml:space="preserve">Patient Name : MR. HARVENDRA </v>
      </c>
      <c r="B5" s="35"/>
      <c r="C5" s="36"/>
      <c r="D5" s="44" t="str">
        <f>[1]FINAL!A2</f>
        <v>IPD No. : SHL/ESIC/26/305</v>
      </c>
      <c r="E5" s="45"/>
      <c r="F5" s="45"/>
      <c r="G5" s="46"/>
    </row>
    <row r="6" spans="1:7" s="6" customFormat="1" ht="24" customHeight="1">
      <c r="A6" s="34" t="str">
        <f>[1]FINAL!E4</f>
        <v>Age/Sex : 27 YRS / MALE</v>
      </c>
      <c r="B6" s="35"/>
      <c r="C6" s="36"/>
      <c r="D6" s="47" t="str">
        <f>[1]FINAL!E7</f>
        <v>Panel : ESIC</v>
      </c>
      <c r="E6" s="48"/>
      <c r="F6" s="48"/>
      <c r="G6" s="49"/>
    </row>
    <row r="7" spans="1:7" s="6" customFormat="1" ht="24" customHeight="1">
      <c r="A7" s="34" t="str">
        <f>[1]FINAL!A8</f>
        <v>DOA &amp; Time : 22/03/2026 AT 18:50 HRS</v>
      </c>
      <c r="B7" s="35"/>
      <c r="C7" s="36"/>
      <c r="D7" s="37" t="str">
        <f>[1]FINAL!A9</f>
        <v>DOD &amp; Time : 28/03/2026 AT 10:55 HRS</v>
      </c>
      <c r="E7" s="38"/>
      <c r="F7" s="38"/>
      <c r="G7" s="39"/>
    </row>
    <row r="8" spans="1:7" s="10" customFormat="1" ht="12" customHeight="1">
      <c r="A8" s="7"/>
      <c r="B8" s="8"/>
      <c r="C8" s="8"/>
      <c r="D8" s="8"/>
      <c r="E8" s="8"/>
      <c r="F8" s="8"/>
      <c r="G8" s="9"/>
    </row>
    <row r="9" spans="1:7" s="6" customFormat="1" ht="24" customHeight="1">
      <c r="A9" s="11" t="s">
        <v>2</v>
      </c>
      <c r="B9" s="12" t="s">
        <v>3</v>
      </c>
      <c r="C9" s="12" t="s">
        <v>4</v>
      </c>
      <c r="D9" s="13" t="s">
        <v>5</v>
      </c>
      <c r="E9" s="12" t="s">
        <v>6</v>
      </c>
      <c r="F9" s="13" t="s">
        <v>7</v>
      </c>
      <c r="G9" s="13" t="s">
        <v>8</v>
      </c>
    </row>
    <row r="10" spans="1:7" s="6" customFormat="1" ht="24" customHeight="1">
      <c r="A10" s="14" t="s">
        <v>494</v>
      </c>
      <c r="B10" s="15" t="s">
        <v>441</v>
      </c>
      <c r="C10" s="16" t="s">
        <v>442</v>
      </c>
      <c r="D10" s="17" t="s">
        <v>10</v>
      </c>
      <c r="E10" s="18">
        <v>19.62</v>
      </c>
      <c r="F10" s="19">
        <v>1</v>
      </c>
      <c r="G10" s="20">
        <f t="shared" ref="G10:G73" si="0">F10*E10</f>
        <v>19.62</v>
      </c>
    </row>
    <row r="11" spans="1:7" s="6" customFormat="1" ht="24" customHeight="1">
      <c r="A11" s="14" t="s">
        <v>494</v>
      </c>
      <c r="B11" s="15" t="s">
        <v>63</v>
      </c>
      <c r="C11" s="16" t="s">
        <v>518</v>
      </c>
      <c r="D11" s="17" t="s">
        <v>10</v>
      </c>
      <c r="E11" s="18">
        <v>403</v>
      </c>
      <c r="F11" s="19">
        <v>1</v>
      </c>
      <c r="G11" s="20">
        <f t="shared" si="0"/>
        <v>403</v>
      </c>
    </row>
    <row r="12" spans="1:7" s="6" customFormat="1" ht="24" customHeight="1">
      <c r="A12" s="14" t="s">
        <v>494</v>
      </c>
      <c r="B12" s="15" t="s">
        <v>443</v>
      </c>
      <c r="C12" s="16" t="s">
        <v>444</v>
      </c>
      <c r="D12" s="17" t="s">
        <v>74</v>
      </c>
      <c r="E12" s="18">
        <v>194</v>
      </c>
      <c r="F12" s="19">
        <v>1</v>
      </c>
      <c r="G12" s="20">
        <f t="shared" si="0"/>
        <v>194</v>
      </c>
    </row>
    <row r="13" spans="1:7" s="6" customFormat="1" ht="24" customHeight="1">
      <c r="A13" s="14" t="s">
        <v>494</v>
      </c>
      <c r="B13" s="15" t="s">
        <v>600</v>
      </c>
      <c r="C13" s="16" t="s">
        <v>601</v>
      </c>
      <c r="D13" s="17" t="s">
        <v>53</v>
      </c>
      <c r="E13" s="18">
        <v>89</v>
      </c>
      <c r="F13" s="19">
        <v>1</v>
      </c>
      <c r="G13" s="20">
        <f t="shared" si="0"/>
        <v>89</v>
      </c>
    </row>
    <row r="14" spans="1:7" s="6" customFormat="1" ht="24" customHeight="1">
      <c r="A14" s="14" t="s">
        <v>494</v>
      </c>
      <c r="B14" s="15" t="s">
        <v>213</v>
      </c>
      <c r="C14" s="16" t="s">
        <v>214</v>
      </c>
      <c r="D14" s="17" t="s">
        <v>24</v>
      </c>
      <c r="E14" s="18">
        <v>4.0813333333333333</v>
      </c>
      <c r="F14" s="19">
        <v>1</v>
      </c>
      <c r="G14" s="20">
        <f t="shared" si="0"/>
        <v>4.0813333333333333</v>
      </c>
    </row>
    <row r="15" spans="1:7" s="6" customFormat="1" ht="24" customHeight="1">
      <c r="A15" s="14" t="s">
        <v>494</v>
      </c>
      <c r="B15" s="15" t="s">
        <v>217</v>
      </c>
      <c r="C15" s="16" t="s">
        <v>519</v>
      </c>
      <c r="D15" s="17" t="s">
        <v>24</v>
      </c>
      <c r="E15" s="18">
        <v>4.45</v>
      </c>
      <c r="F15" s="19">
        <v>1</v>
      </c>
      <c r="G15" s="20">
        <f t="shared" si="0"/>
        <v>4.45</v>
      </c>
    </row>
    <row r="16" spans="1:7" s="6" customFormat="1" ht="24" customHeight="1">
      <c r="A16" s="14" t="s">
        <v>494</v>
      </c>
      <c r="B16" s="15" t="s">
        <v>218</v>
      </c>
      <c r="C16" s="16" t="s">
        <v>219</v>
      </c>
      <c r="D16" s="17" t="s">
        <v>155</v>
      </c>
      <c r="E16" s="18">
        <v>12.16</v>
      </c>
      <c r="F16" s="19">
        <v>1</v>
      </c>
      <c r="G16" s="20">
        <f t="shared" si="0"/>
        <v>12.16</v>
      </c>
    </row>
    <row r="17" spans="1:7" s="6" customFormat="1" ht="24" customHeight="1">
      <c r="A17" s="14" t="s">
        <v>494</v>
      </c>
      <c r="B17" s="15" t="s">
        <v>263</v>
      </c>
      <c r="C17" s="16" t="s">
        <v>542</v>
      </c>
      <c r="D17" s="17" t="s">
        <v>43</v>
      </c>
      <c r="E17" s="18">
        <v>3132</v>
      </c>
      <c r="F17" s="19">
        <v>1</v>
      </c>
      <c r="G17" s="20">
        <f t="shared" si="0"/>
        <v>3132</v>
      </c>
    </row>
    <row r="18" spans="1:7" s="6" customFormat="1" ht="24" customHeight="1">
      <c r="A18" s="14" t="s">
        <v>494</v>
      </c>
      <c r="B18" s="15" t="s">
        <v>261</v>
      </c>
      <c r="C18" s="16" t="s">
        <v>262</v>
      </c>
      <c r="D18" s="17" t="s">
        <v>92</v>
      </c>
      <c r="E18" s="18">
        <v>265.13</v>
      </c>
      <c r="F18" s="19">
        <v>1</v>
      </c>
      <c r="G18" s="20">
        <f t="shared" si="0"/>
        <v>265.13</v>
      </c>
    </row>
    <row r="19" spans="1:7" s="6" customFormat="1" ht="24" customHeight="1">
      <c r="A19" s="14" t="s">
        <v>494</v>
      </c>
      <c r="B19" s="15" t="s">
        <v>281</v>
      </c>
      <c r="C19" s="16" t="s">
        <v>282</v>
      </c>
      <c r="D19" s="17" t="s">
        <v>283</v>
      </c>
      <c r="E19" s="18">
        <v>16.22</v>
      </c>
      <c r="F19" s="19">
        <v>1</v>
      </c>
      <c r="G19" s="20">
        <f t="shared" si="0"/>
        <v>16.22</v>
      </c>
    </row>
    <row r="20" spans="1:7" s="6" customFormat="1" ht="24" customHeight="1">
      <c r="A20" s="14" t="s">
        <v>494</v>
      </c>
      <c r="B20" s="15" t="s">
        <v>240</v>
      </c>
      <c r="C20" s="16" t="s">
        <v>241</v>
      </c>
      <c r="D20" s="17" t="s">
        <v>35</v>
      </c>
      <c r="E20" s="18">
        <f>86/15</f>
        <v>5.7333333333333334</v>
      </c>
      <c r="F20" s="19">
        <v>1</v>
      </c>
      <c r="G20" s="20">
        <f t="shared" si="0"/>
        <v>5.7333333333333334</v>
      </c>
    </row>
    <row r="21" spans="1:7" s="6" customFormat="1" ht="24" customHeight="1">
      <c r="A21" s="14" t="s">
        <v>494</v>
      </c>
      <c r="B21" s="15" t="s">
        <v>445</v>
      </c>
      <c r="C21" s="16" t="s">
        <v>446</v>
      </c>
      <c r="D21" s="17" t="s">
        <v>18</v>
      </c>
      <c r="E21" s="18">
        <v>4300</v>
      </c>
      <c r="F21" s="19">
        <v>1</v>
      </c>
      <c r="G21" s="20">
        <f t="shared" si="0"/>
        <v>4300</v>
      </c>
    </row>
    <row r="22" spans="1:7" s="6" customFormat="1" ht="24" customHeight="1">
      <c r="A22" s="14" t="s">
        <v>494</v>
      </c>
      <c r="B22" s="15" t="s">
        <v>598</v>
      </c>
      <c r="C22" s="16" t="s">
        <v>599</v>
      </c>
      <c r="D22" s="17" t="s">
        <v>74</v>
      </c>
      <c r="E22" s="18">
        <v>139.69</v>
      </c>
      <c r="F22" s="19">
        <v>1</v>
      </c>
      <c r="G22" s="20">
        <f t="shared" si="0"/>
        <v>139.69</v>
      </c>
    </row>
    <row r="23" spans="1:7" s="6" customFormat="1" ht="24" customHeight="1">
      <c r="A23" s="14" t="s">
        <v>494</v>
      </c>
      <c r="B23" s="15" t="s">
        <v>597</v>
      </c>
      <c r="C23" s="16">
        <v>207</v>
      </c>
      <c r="D23" s="17" t="s">
        <v>77</v>
      </c>
      <c r="E23" s="18">
        <v>337.5</v>
      </c>
      <c r="F23" s="19">
        <v>1</v>
      </c>
      <c r="G23" s="20">
        <f t="shared" si="0"/>
        <v>337.5</v>
      </c>
    </row>
    <row r="24" spans="1:7" s="6" customFormat="1" ht="24" customHeight="1">
      <c r="A24" s="14" t="s">
        <v>494</v>
      </c>
      <c r="B24" s="15" t="s">
        <v>447</v>
      </c>
      <c r="C24" s="16" t="s">
        <v>448</v>
      </c>
      <c r="D24" s="17" t="s">
        <v>26</v>
      </c>
      <c r="E24" s="18">
        <v>419</v>
      </c>
      <c r="F24" s="19">
        <v>1</v>
      </c>
      <c r="G24" s="20">
        <f t="shared" si="0"/>
        <v>419</v>
      </c>
    </row>
    <row r="25" spans="1:7" s="6" customFormat="1" ht="24" customHeight="1">
      <c r="A25" s="14" t="s">
        <v>494</v>
      </c>
      <c r="B25" s="15" t="s">
        <v>596</v>
      </c>
      <c r="C25" s="16">
        <v>4660012</v>
      </c>
      <c r="D25" s="17" t="s">
        <v>471</v>
      </c>
      <c r="E25" s="18">
        <v>685.31</v>
      </c>
      <c r="F25" s="19">
        <v>1</v>
      </c>
      <c r="G25" s="20">
        <f t="shared" si="0"/>
        <v>685.31</v>
      </c>
    </row>
    <row r="26" spans="1:7" s="6" customFormat="1" ht="24" customHeight="1">
      <c r="A26" s="14" t="s">
        <v>494</v>
      </c>
      <c r="B26" s="15" t="s">
        <v>594</v>
      </c>
      <c r="C26" s="16" t="s">
        <v>595</v>
      </c>
      <c r="D26" s="17" t="s">
        <v>60</v>
      </c>
      <c r="E26" s="18">
        <v>3.6</v>
      </c>
      <c r="F26" s="19">
        <v>1</v>
      </c>
      <c r="G26" s="20">
        <f t="shared" si="0"/>
        <v>3.6</v>
      </c>
    </row>
    <row r="27" spans="1:7" s="6" customFormat="1" ht="24" customHeight="1">
      <c r="A27" s="14" t="s">
        <v>494</v>
      </c>
      <c r="B27" s="15" t="s">
        <v>449</v>
      </c>
      <c r="C27" s="16" t="s">
        <v>450</v>
      </c>
      <c r="D27" s="17" t="s">
        <v>56</v>
      </c>
      <c r="E27" s="18">
        <v>97.45</v>
      </c>
      <c r="F27" s="19">
        <v>1</v>
      </c>
      <c r="G27" s="20">
        <f t="shared" si="0"/>
        <v>97.45</v>
      </c>
    </row>
    <row r="28" spans="1:7" s="6" customFormat="1" ht="24" customHeight="1">
      <c r="A28" s="14" t="s">
        <v>494</v>
      </c>
      <c r="B28" s="15" t="s">
        <v>437</v>
      </c>
      <c r="C28" s="16" t="s">
        <v>438</v>
      </c>
      <c r="D28" s="17" t="s">
        <v>355</v>
      </c>
      <c r="E28" s="18">
        <v>356.25</v>
      </c>
      <c r="F28" s="19">
        <v>1</v>
      </c>
      <c r="G28" s="20">
        <f t="shared" si="0"/>
        <v>356.25</v>
      </c>
    </row>
    <row r="29" spans="1:7" s="6" customFormat="1" ht="24" customHeight="1">
      <c r="A29" s="14" t="s">
        <v>494</v>
      </c>
      <c r="B29" s="15" t="s">
        <v>451</v>
      </c>
      <c r="C29" s="16" t="s">
        <v>452</v>
      </c>
      <c r="D29" s="17" t="s">
        <v>453</v>
      </c>
      <c r="E29" s="18">
        <v>403.13</v>
      </c>
      <c r="F29" s="19">
        <v>1</v>
      </c>
      <c r="G29" s="20">
        <f t="shared" si="0"/>
        <v>403.13</v>
      </c>
    </row>
    <row r="30" spans="1:7" s="6" customFormat="1" ht="24" customHeight="1">
      <c r="A30" s="14" t="s">
        <v>494</v>
      </c>
      <c r="B30" s="15" t="s">
        <v>51</v>
      </c>
      <c r="C30" s="16" t="s">
        <v>52</v>
      </c>
      <c r="D30" s="17" t="s">
        <v>53</v>
      </c>
      <c r="E30" s="18">
        <v>25</v>
      </c>
      <c r="F30" s="19">
        <v>1</v>
      </c>
      <c r="G30" s="20">
        <f t="shared" si="0"/>
        <v>25</v>
      </c>
    </row>
    <row r="31" spans="1:7" s="6" customFormat="1" ht="24" customHeight="1">
      <c r="A31" s="14" t="s">
        <v>494</v>
      </c>
      <c r="B31" s="15" t="s">
        <v>54</v>
      </c>
      <c r="C31" s="16" t="s">
        <v>55</v>
      </c>
      <c r="D31" s="17" t="s">
        <v>56</v>
      </c>
      <c r="E31" s="18">
        <v>575</v>
      </c>
      <c r="F31" s="19">
        <v>1</v>
      </c>
      <c r="G31" s="20">
        <f t="shared" si="0"/>
        <v>575</v>
      </c>
    </row>
    <row r="32" spans="1:7" s="6" customFormat="1" ht="24" customHeight="1">
      <c r="A32" s="14" t="s">
        <v>494</v>
      </c>
      <c r="B32" s="15" t="s">
        <v>454</v>
      </c>
      <c r="C32" s="16" t="s">
        <v>455</v>
      </c>
      <c r="D32" s="17" t="s">
        <v>453</v>
      </c>
      <c r="E32" s="18">
        <v>642</v>
      </c>
      <c r="F32" s="19">
        <v>1</v>
      </c>
      <c r="G32" s="20">
        <f t="shared" si="0"/>
        <v>642</v>
      </c>
    </row>
    <row r="33" spans="1:7" s="6" customFormat="1" ht="24" customHeight="1">
      <c r="A33" s="14" t="s">
        <v>494</v>
      </c>
      <c r="B33" s="15" t="s">
        <v>592</v>
      </c>
      <c r="C33" s="16" t="s">
        <v>593</v>
      </c>
      <c r="D33" s="17" t="s">
        <v>485</v>
      </c>
      <c r="E33" s="18">
        <v>671.25</v>
      </c>
      <c r="F33" s="19">
        <v>1</v>
      </c>
      <c r="G33" s="20">
        <f t="shared" si="0"/>
        <v>671.25</v>
      </c>
    </row>
    <row r="34" spans="1:7" s="6" customFormat="1" ht="24" customHeight="1">
      <c r="A34" s="14" t="s">
        <v>494</v>
      </c>
      <c r="B34" s="15" t="s">
        <v>57</v>
      </c>
      <c r="C34" s="16" t="s">
        <v>58</v>
      </c>
      <c r="D34" s="17" t="s">
        <v>29</v>
      </c>
      <c r="E34" s="18">
        <v>824</v>
      </c>
      <c r="F34" s="19">
        <v>1</v>
      </c>
      <c r="G34" s="20">
        <f t="shared" si="0"/>
        <v>824</v>
      </c>
    </row>
    <row r="35" spans="1:7" s="6" customFormat="1" ht="24" customHeight="1">
      <c r="A35" s="14" t="s">
        <v>494</v>
      </c>
      <c r="B35" s="15" t="s">
        <v>456</v>
      </c>
      <c r="C35" s="16" t="s">
        <v>457</v>
      </c>
      <c r="D35" s="17" t="s">
        <v>74</v>
      </c>
      <c r="E35" s="18">
        <v>110.6</v>
      </c>
      <c r="F35" s="19">
        <v>1</v>
      </c>
      <c r="G35" s="20">
        <f t="shared" si="0"/>
        <v>110.6</v>
      </c>
    </row>
    <row r="36" spans="1:7" s="6" customFormat="1" ht="24" customHeight="1">
      <c r="A36" s="14" t="s">
        <v>494</v>
      </c>
      <c r="B36" s="15" t="s">
        <v>458</v>
      </c>
      <c r="C36" s="16" t="s">
        <v>459</v>
      </c>
      <c r="D36" s="17" t="s">
        <v>460</v>
      </c>
      <c r="E36" s="18">
        <v>90.94</v>
      </c>
      <c r="F36" s="19">
        <v>1</v>
      </c>
      <c r="G36" s="20">
        <f t="shared" si="0"/>
        <v>90.94</v>
      </c>
    </row>
    <row r="37" spans="1:7" s="6" customFormat="1" ht="24" customHeight="1">
      <c r="A37" s="14" t="s">
        <v>494</v>
      </c>
      <c r="B37" s="15" t="s">
        <v>413</v>
      </c>
      <c r="C37" s="16" t="s">
        <v>414</v>
      </c>
      <c r="D37" s="17" t="s">
        <v>77</v>
      </c>
      <c r="E37" s="18">
        <v>579.5</v>
      </c>
      <c r="F37" s="19">
        <v>1</v>
      </c>
      <c r="G37" s="20">
        <f t="shared" si="0"/>
        <v>579.5</v>
      </c>
    </row>
    <row r="38" spans="1:7" s="6" customFormat="1" ht="24" customHeight="1">
      <c r="A38" s="14" t="s">
        <v>494</v>
      </c>
      <c r="B38" s="15" t="s">
        <v>590</v>
      </c>
      <c r="C38" s="16" t="s">
        <v>591</v>
      </c>
      <c r="D38" s="17" t="s">
        <v>53</v>
      </c>
      <c r="E38" s="18">
        <v>145.41999999999999</v>
      </c>
      <c r="F38" s="19">
        <v>1</v>
      </c>
      <c r="G38" s="20">
        <f t="shared" si="0"/>
        <v>145.41999999999999</v>
      </c>
    </row>
    <row r="39" spans="1:7" s="6" customFormat="1" ht="24" customHeight="1">
      <c r="A39" s="14" t="s">
        <v>494</v>
      </c>
      <c r="B39" s="15" t="s">
        <v>64</v>
      </c>
      <c r="C39" s="16" t="s">
        <v>65</v>
      </c>
      <c r="D39" s="17" t="s">
        <v>53</v>
      </c>
      <c r="E39" s="18">
        <v>687</v>
      </c>
      <c r="F39" s="19">
        <v>1</v>
      </c>
      <c r="G39" s="20">
        <f t="shared" si="0"/>
        <v>687</v>
      </c>
    </row>
    <row r="40" spans="1:7" s="6" customFormat="1" ht="24" customHeight="1">
      <c r="A40" s="14" t="s">
        <v>494</v>
      </c>
      <c r="B40" s="15" t="s">
        <v>461</v>
      </c>
      <c r="C40" s="16" t="s">
        <v>462</v>
      </c>
      <c r="D40" s="17" t="s">
        <v>264</v>
      </c>
      <c r="E40" s="18">
        <v>413</v>
      </c>
      <c r="F40" s="19">
        <v>1</v>
      </c>
      <c r="G40" s="20">
        <f t="shared" si="0"/>
        <v>413</v>
      </c>
    </row>
    <row r="41" spans="1:7" s="6" customFormat="1" ht="24" customHeight="1">
      <c r="A41" s="14" t="s">
        <v>494</v>
      </c>
      <c r="B41" s="15" t="s">
        <v>588</v>
      </c>
      <c r="C41" s="16" t="s">
        <v>589</v>
      </c>
      <c r="D41" s="17" t="s">
        <v>46</v>
      </c>
      <c r="E41" s="18">
        <v>302</v>
      </c>
      <c r="F41" s="19">
        <v>1</v>
      </c>
      <c r="G41" s="20">
        <f t="shared" si="0"/>
        <v>302</v>
      </c>
    </row>
    <row r="42" spans="1:7" s="6" customFormat="1" ht="24" customHeight="1">
      <c r="A42" s="14" t="s">
        <v>494</v>
      </c>
      <c r="B42" s="15" t="s">
        <v>11</v>
      </c>
      <c r="C42" s="16" t="s">
        <v>587</v>
      </c>
      <c r="D42" s="17" t="s">
        <v>24</v>
      </c>
      <c r="E42" s="18">
        <v>243</v>
      </c>
      <c r="F42" s="19">
        <v>1</v>
      </c>
      <c r="G42" s="20">
        <f t="shared" si="0"/>
        <v>243</v>
      </c>
    </row>
    <row r="43" spans="1:7" s="6" customFormat="1" ht="24" customHeight="1">
      <c r="A43" s="14" t="s">
        <v>494</v>
      </c>
      <c r="B43" s="15" t="s">
        <v>109</v>
      </c>
      <c r="C43" s="16" t="s">
        <v>110</v>
      </c>
      <c r="D43" s="17" t="s">
        <v>56</v>
      </c>
      <c r="E43" s="18">
        <v>564.5</v>
      </c>
      <c r="F43" s="19">
        <v>1</v>
      </c>
      <c r="G43" s="20">
        <f t="shared" si="0"/>
        <v>564.5</v>
      </c>
    </row>
    <row r="44" spans="1:7" s="6" customFormat="1" ht="24" customHeight="1">
      <c r="A44" s="14" t="s">
        <v>494</v>
      </c>
      <c r="B44" s="15" t="s">
        <v>133</v>
      </c>
      <c r="C44" s="16" t="s">
        <v>134</v>
      </c>
      <c r="D44" s="17" t="s">
        <v>100</v>
      </c>
      <c r="E44" s="18">
        <v>3500</v>
      </c>
      <c r="F44" s="19">
        <v>1</v>
      </c>
      <c r="G44" s="20">
        <f t="shared" si="0"/>
        <v>3500</v>
      </c>
    </row>
    <row r="45" spans="1:7" s="6" customFormat="1" ht="24" customHeight="1">
      <c r="A45" s="14" t="s">
        <v>494</v>
      </c>
      <c r="B45" s="15" t="s">
        <v>135</v>
      </c>
      <c r="C45" s="16" t="s">
        <v>136</v>
      </c>
      <c r="D45" s="17" t="s">
        <v>10</v>
      </c>
      <c r="E45" s="18">
        <v>38.700000000000003</v>
      </c>
      <c r="F45" s="19">
        <v>1</v>
      </c>
      <c r="G45" s="20">
        <f t="shared" si="0"/>
        <v>38.700000000000003</v>
      </c>
    </row>
    <row r="46" spans="1:7" s="6" customFormat="1" ht="24" customHeight="1">
      <c r="A46" s="14" t="s">
        <v>494</v>
      </c>
      <c r="B46" s="15" t="s">
        <v>16</v>
      </c>
      <c r="C46" s="16" t="s">
        <v>17</v>
      </c>
      <c r="D46" s="17" t="s">
        <v>18</v>
      </c>
      <c r="E46" s="18">
        <v>4699</v>
      </c>
      <c r="F46" s="19">
        <v>1</v>
      </c>
      <c r="G46" s="20">
        <f t="shared" si="0"/>
        <v>4699</v>
      </c>
    </row>
    <row r="47" spans="1:7" s="6" customFormat="1" ht="24" customHeight="1">
      <c r="A47" s="14" t="s">
        <v>494</v>
      </c>
      <c r="B47" s="15" t="s">
        <v>128</v>
      </c>
      <c r="C47" s="16" t="s">
        <v>520</v>
      </c>
      <c r="D47" s="17" t="s">
        <v>482</v>
      </c>
      <c r="E47" s="18">
        <v>560.63</v>
      </c>
      <c r="F47" s="19">
        <v>1</v>
      </c>
      <c r="G47" s="20">
        <f t="shared" si="0"/>
        <v>560.63</v>
      </c>
    </row>
    <row r="48" spans="1:7" s="6" customFormat="1" ht="24" customHeight="1">
      <c r="A48" s="14" t="s">
        <v>494</v>
      </c>
      <c r="B48" s="15" t="s">
        <v>137</v>
      </c>
      <c r="C48" s="16" t="s">
        <v>138</v>
      </c>
      <c r="D48" s="17" t="s">
        <v>139</v>
      </c>
      <c r="E48" s="18">
        <v>10.33</v>
      </c>
      <c r="F48" s="19">
        <v>1</v>
      </c>
      <c r="G48" s="20">
        <f t="shared" si="0"/>
        <v>10.33</v>
      </c>
    </row>
    <row r="49" spans="1:7" s="6" customFormat="1" ht="24" customHeight="1">
      <c r="A49" s="14" t="s">
        <v>494</v>
      </c>
      <c r="B49" s="15" t="s">
        <v>15</v>
      </c>
      <c r="C49" s="16" t="s">
        <v>521</v>
      </c>
      <c r="D49" s="17" t="s">
        <v>32</v>
      </c>
      <c r="E49" s="18">
        <v>3984.38</v>
      </c>
      <c r="F49" s="19">
        <v>1</v>
      </c>
      <c r="G49" s="20">
        <f t="shared" si="0"/>
        <v>3984.38</v>
      </c>
    </row>
    <row r="50" spans="1:7" s="6" customFormat="1" ht="24" customHeight="1">
      <c r="A50" s="14" t="s">
        <v>494</v>
      </c>
      <c r="B50" s="15" t="s">
        <v>140</v>
      </c>
      <c r="C50" s="16" t="s">
        <v>141</v>
      </c>
      <c r="D50" s="17" t="s">
        <v>10</v>
      </c>
      <c r="E50" s="18">
        <v>1278</v>
      </c>
      <c r="F50" s="19">
        <v>1</v>
      </c>
      <c r="G50" s="20">
        <f t="shared" si="0"/>
        <v>1278</v>
      </c>
    </row>
    <row r="51" spans="1:7" s="6" customFormat="1" ht="24" customHeight="1">
      <c r="A51" s="14" t="s">
        <v>494</v>
      </c>
      <c r="B51" s="15" t="s">
        <v>585</v>
      </c>
      <c r="C51" s="16" t="s">
        <v>586</v>
      </c>
      <c r="D51" s="17" t="s">
        <v>24</v>
      </c>
      <c r="E51" s="18">
        <v>4678.13</v>
      </c>
      <c r="F51" s="19">
        <v>1</v>
      </c>
      <c r="G51" s="20">
        <f t="shared" si="0"/>
        <v>4678.13</v>
      </c>
    </row>
    <row r="52" spans="1:7" s="6" customFormat="1" ht="24" customHeight="1">
      <c r="A52" s="14" t="s">
        <v>494</v>
      </c>
      <c r="B52" s="15" t="s">
        <v>144</v>
      </c>
      <c r="C52" s="16" t="s">
        <v>145</v>
      </c>
      <c r="D52" s="17" t="s">
        <v>46</v>
      </c>
      <c r="E52" s="18">
        <v>2182.0300000000002</v>
      </c>
      <c r="F52" s="19">
        <v>1</v>
      </c>
      <c r="G52" s="20">
        <f t="shared" si="0"/>
        <v>2182.0300000000002</v>
      </c>
    </row>
    <row r="53" spans="1:7" s="6" customFormat="1" ht="24" customHeight="1">
      <c r="A53" s="14" t="s">
        <v>494</v>
      </c>
      <c r="B53" s="15" t="s">
        <v>30</v>
      </c>
      <c r="C53" s="16" t="s">
        <v>31</v>
      </c>
      <c r="D53" s="17" t="s">
        <v>32</v>
      </c>
      <c r="E53" s="18">
        <v>10.8</v>
      </c>
      <c r="F53" s="19">
        <v>1</v>
      </c>
      <c r="G53" s="20">
        <f t="shared" si="0"/>
        <v>10.8</v>
      </c>
    </row>
    <row r="54" spans="1:7" s="6" customFormat="1" ht="24" customHeight="1">
      <c r="A54" s="14" t="s">
        <v>494</v>
      </c>
      <c r="B54" s="15" t="s">
        <v>583</v>
      </c>
      <c r="C54" s="16" t="s">
        <v>584</v>
      </c>
      <c r="D54" s="17" t="s">
        <v>155</v>
      </c>
      <c r="E54" s="18">
        <v>21</v>
      </c>
      <c r="F54" s="19">
        <v>1</v>
      </c>
      <c r="G54" s="20">
        <f t="shared" si="0"/>
        <v>21</v>
      </c>
    </row>
    <row r="55" spans="1:7" s="6" customFormat="1" ht="24" customHeight="1">
      <c r="A55" s="14" t="s">
        <v>494</v>
      </c>
      <c r="B55" s="15" t="s">
        <v>581</v>
      </c>
      <c r="C55" s="16" t="s">
        <v>582</v>
      </c>
      <c r="D55" s="17" t="s">
        <v>21</v>
      </c>
      <c r="E55" s="18">
        <v>24.98</v>
      </c>
      <c r="F55" s="19">
        <v>1</v>
      </c>
      <c r="G55" s="20">
        <f t="shared" si="0"/>
        <v>24.98</v>
      </c>
    </row>
    <row r="56" spans="1:7" s="6" customFormat="1" ht="24" customHeight="1">
      <c r="A56" s="14" t="s">
        <v>494</v>
      </c>
      <c r="B56" s="15" t="s">
        <v>101</v>
      </c>
      <c r="C56" s="16" t="s">
        <v>102</v>
      </c>
      <c r="D56" s="17" t="s">
        <v>18</v>
      </c>
      <c r="E56" s="18">
        <v>562.5</v>
      </c>
      <c r="F56" s="19">
        <v>1</v>
      </c>
      <c r="G56" s="20">
        <f t="shared" si="0"/>
        <v>562.5</v>
      </c>
    </row>
    <row r="57" spans="1:7" s="6" customFormat="1" ht="24" customHeight="1">
      <c r="A57" s="14" t="s">
        <v>494</v>
      </c>
      <c r="B57" s="15" t="s">
        <v>142</v>
      </c>
      <c r="C57" s="16" t="s">
        <v>143</v>
      </c>
      <c r="D57" s="17" t="s">
        <v>77</v>
      </c>
      <c r="E57" s="18">
        <v>38.65</v>
      </c>
      <c r="F57" s="19">
        <v>1</v>
      </c>
      <c r="G57" s="20">
        <f t="shared" si="0"/>
        <v>38.65</v>
      </c>
    </row>
    <row r="58" spans="1:7" s="6" customFormat="1" ht="24" customHeight="1">
      <c r="A58" s="14" t="s">
        <v>494</v>
      </c>
      <c r="B58" s="15" t="s">
        <v>19</v>
      </c>
      <c r="C58" s="16" t="s">
        <v>20</v>
      </c>
      <c r="D58" s="17" t="s">
        <v>21</v>
      </c>
      <c r="E58" s="18">
        <v>24.99</v>
      </c>
      <c r="F58" s="19">
        <v>1</v>
      </c>
      <c r="G58" s="20">
        <f t="shared" si="0"/>
        <v>24.99</v>
      </c>
    </row>
    <row r="59" spans="1:7" s="6" customFormat="1" ht="24" customHeight="1">
      <c r="A59" s="14" t="s">
        <v>494</v>
      </c>
      <c r="B59" s="15" t="s">
        <v>107</v>
      </c>
      <c r="C59" s="16" t="s">
        <v>108</v>
      </c>
      <c r="D59" s="17" t="s">
        <v>56</v>
      </c>
      <c r="E59" s="18">
        <v>3562</v>
      </c>
      <c r="F59" s="19">
        <v>1</v>
      </c>
      <c r="G59" s="20">
        <f t="shared" si="0"/>
        <v>3562</v>
      </c>
    </row>
    <row r="60" spans="1:7" s="6" customFormat="1" ht="24" customHeight="1">
      <c r="A60" s="14" t="s">
        <v>494</v>
      </c>
      <c r="B60" s="15" t="s">
        <v>117</v>
      </c>
      <c r="C60" s="16" t="s">
        <v>118</v>
      </c>
      <c r="D60" s="17" t="s">
        <v>24</v>
      </c>
      <c r="E60" s="18">
        <v>1449.3</v>
      </c>
      <c r="F60" s="19">
        <v>1</v>
      </c>
      <c r="G60" s="20">
        <f t="shared" si="0"/>
        <v>1449.3</v>
      </c>
    </row>
    <row r="61" spans="1:7" s="6" customFormat="1" ht="24" customHeight="1">
      <c r="A61" s="14" t="s">
        <v>494</v>
      </c>
      <c r="B61" s="15" t="s">
        <v>146</v>
      </c>
      <c r="C61" s="16" t="s">
        <v>147</v>
      </c>
      <c r="D61" s="17" t="s">
        <v>10</v>
      </c>
      <c r="E61" s="18">
        <v>2263.13</v>
      </c>
      <c r="F61" s="19">
        <v>1</v>
      </c>
      <c r="G61" s="20">
        <f t="shared" si="0"/>
        <v>2263.13</v>
      </c>
    </row>
    <row r="62" spans="1:7" s="6" customFormat="1" ht="24" customHeight="1">
      <c r="A62" s="14" t="s">
        <v>494</v>
      </c>
      <c r="B62" s="15" t="s">
        <v>114</v>
      </c>
      <c r="C62" s="16" t="s">
        <v>522</v>
      </c>
      <c r="D62" s="17" t="s">
        <v>77</v>
      </c>
      <c r="E62" s="18">
        <v>1968.75</v>
      </c>
      <c r="F62" s="19">
        <v>1</v>
      </c>
      <c r="G62" s="20">
        <f t="shared" si="0"/>
        <v>1968.75</v>
      </c>
    </row>
    <row r="63" spans="1:7" s="6" customFormat="1" ht="24" customHeight="1">
      <c r="A63" s="14" t="s">
        <v>494</v>
      </c>
      <c r="B63" s="15" t="s">
        <v>112</v>
      </c>
      <c r="C63" s="16" t="s">
        <v>113</v>
      </c>
      <c r="D63" s="17" t="s">
        <v>32</v>
      </c>
      <c r="E63" s="18">
        <v>1730.77</v>
      </c>
      <c r="F63" s="19">
        <v>1</v>
      </c>
      <c r="G63" s="20">
        <f t="shared" si="0"/>
        <v>1730.77</v>
      </c>
    </row>
    <row r="64" spans="1:7" s="6" customFormat="1" ht="24" customHeight="1">
      <c r="A64" s="14" t="s">
        <v>494</v>
      </c>
      <c r="B64" s="15" t="s">
        <v>111</v>
      </c>
      <c r="C64" s="16" t="s">
        <v>523</v>
      </c>
      <c r="D64" s="17" t="s">
        <v>264</v>
      </c>
      <c r="E64" s="18">
        <f>2184/5</f>
        <v>436.8</v>
      </c>
      <c r="F64" s="19">
        <v>1</v>
      </c>
      <c r="G64" s="20">
        <f t="shared" si="0"/>
        <v>436.8</v>
      </c>
    </row>
    <row r="65" spans="1:7" s="6" customFormat="1" ht="24" customHeight="1">
      <c r="A65" s="14" t="s">
        <v>494</v>
      </c>
      <c r="B65" s="15" t="s">
        <v>121</v>
      </c>
      <c r="C65" s="16" t="s">
        <v>524</v>
      </c>
      <c r="D65" s="17" t="s">
        <v>86</v>
      </c>
      <c r="E65" s="18">
        <v>181.39</v>
      </c>
      <c r="F65" s="19">
        <v>1</v>
      </c>
      <c r="G65" s="20">
        <f t="shared" si="0"/>
        <v>181.39</v>
      </c>
    </row>
    <row r="66" spans="1:7" s="6" customFormat="1" ht="24" customHeight="1">
      <c r="A66" s="14" t="s">
        <v>494</v>
      </c>
      <c r="B66" s="15" t="s">
        <v>574</v>
      </c>
      <c r="C66" s="16" t="s">
        <v>575</v>
      </c>
      <c r="D66" s="17" t="s">
        <v>100</v>
      </c>
      <c r="E66" s="18">
        <v>47</v>
      </c>
      <c r="F66" s="19">
        <v>1</v>
      </c>
      <c r="G66" s="20">
        <f t="shared" si="0"/>
        <v>47</v>
      </c>
    </row>
    <row r="67" spans="1:7" s="6" customFormat="1" ht="24" customHeight="1">
      <c r="A67" s="14" t="s">
        <v>494</v>
      </c>
      <c r="B67" s="15" t="s">
        <v>576</v>
      </c>
      <c r="C67" s="16" t="s">
        <v>577</v>
      </c>
      <c r="D67" s="17" t="s">
        <v>43</v>
      </c>
      <c r="E67" s="18">
        <v>254.52</v>
      </c>
      <c r="F67" s="19">
        <v>1</v>
      </c>
      <c r="G67" s="20">
        <f t="shared" si="0"/>
        <v>254.52</v>
      </c>
    </row>
    <row r="68" spans="1:7" s="6" customFormat="1" ht="24" customHeight="1">
      <c r="A68" s="14" t="s">
        <v>494</v>
      </c>
      <c r="B68" s="15" t="s">
        <v>578</v>
      </c>
      <c r="C68" s="16">
        <v>1267091</v>
      </c>
      <c r="D68" s="17" t="s">
        <v>95</v>
      </c>
      <c r="E68" s="18">
        <v>59.4</v>
      </c>
      <c r="F68" s="19">
        <v>1</v>
      </c>
      <c r="G68" s="20">
        <f t="shared" si="0"/>
        <v>59.4</v>
      </c>
    </row>
    <row r="69" spans="1:7" s="6" customFormat="1" ht="24" customHeight="1">
      <c r="A69" s="14" t="s">
        <v>494</v>
      </c>
      <c r="B69" s="15" t="s">
        <v>579</v>
      </c>
      <c r="C69" s="16" t="s">
        <v>580</v>
      </c>
      <c r="D69" s="17" t="s">
        <v>60</v>
      </c>
      <c r="E69" s="18">
        <v>3.6</v>
      </c>
      <c r="F69" s="19">
        <v>1</v>
      </c>
      <c r="G69" s="20">
        <f t="shared" si="0"/>
        <v>3.6</v>
      </c>
    </row>
    <row r="70" spans="1:7" s="6" customFormat="1" ht="24" customHeight="1">
      <c r="A70" s="14" t="s">
        <v>494</v>
      </c>
      <c r="B70" s="15" t="s">
        <v>570</v>
      </c>
      <c r="C70" s="16" t="s">
        <v>571</v>
      </c>
      <c r="D70" s="17" t="s">
        <v>10</v>
      </c>
      <c r="E70" s="18">
        <v>4999</v>
      </c>
      <c r="F70" s="19">
        <v>1</v>
      </c>
      <c r="G70" s="20">
        <f t="shared" si="0"/>
        <v>4999</v>
      </c>
    </row>
    <row r="71" spans="1:7" s="6" customFormat="1" ht="24" customHeight="1">
      <c r="A71" s="14" t="s">
        <v>494</v>
      </c>
      <c r="B71" s="15" t="s">
        <v>572</v>
      </c>
      <c r="C71" s="16" t="s">
        <v>573</v>
      </c>
      <c r="D71" s="17" t="s">
        <v>43</v>
      </c>
      <c r="E71" s="18">
        <v>1199</v>
      </c>
      <c r="F71" s="19">
        <v>1</v>
      </c>
      <c r="G71" s="20">
        <f t="shared" si="0"/>
        <v>1199</v>
      </c>
    </row>
    <row r="72" spans="1:7" s="6" customFormat="1" ht="24" customHeight="1">
      <c r="A72" s="14" t="s">
        <v>494</v>
      </c>
      <c r="B72" s="15" t="s">
        <v>122</v>
      </c>
      <c r="C72" s="16" t="s">
        <v>123</v>
      </c>
      <c r="D72" s="17" t="s">
        <v>24</v>
      </c>
      <c r="E72" s="18">
        <v>2173.29</v>
      </c>
      <c r="F72" s="19">
        <v>1</v>
      </c>
      <c r="G72" s="20">
        <f t="shared" si="0"/>
        <v>2173.29</v>
      </c>
    </row>
    <row r="73" spans="1:7" s="6" customFormat="1" ht="24" customHeight="1">
      <c r="A73" s="14" t="s">
        <v>494</v>
      </c>
      <c r="B73" s="15" t="s">
        <v>25</v>
      </c>
      <c r="C73" s="16">
        <v>2124481</v>
      </c>
      <c r="D73" s="17" t="s">
        <v>26</v>
      </c>
      <c r="E73" s="18">
        <v>13.39</v>
      </c>
      <c r="F73" s="19">
        <v>1</v>
      </c>
      <c r="G73" s="20">
        <f t="shared" si="0"/>
        <v>13.39</v>
      </c>
    </row>
    <row r="74" spans="1:7" s="6" customFormat="1" ht="24" customHeight="1">
      <c r="A74" s="14" t="s">
        <v>494</v>
      </c>
      <c r="B74" s="15" t="s">
        <v>103</v>
      </c>
      <c r="C74" s="16" t="s">
        <v>104</v>
      </c>
      <c r="D74" s="17" t="s">
        <v>92</v>
      </c>
      <c r="E74" s="18">
        <v>95</v>
      </c>
      <c r="F74" s="19">
        <v>1</v>
      </c>
      <c r="G74" s="20">
        <f t="shared" ref="G74:G137" si="1">F74*E74</f>
        <v>95</v>
      </c>
    </row>
    <row r="75" spans="1:7" s="6" customFormat="1" ht="24" customHeight="1">
      <c r="A75" s="14" t="s">
        <v>494</v>
      </c>
      <c r="B75" s="15" t="s">
        <v>148</v>
      </c>
      <c r="C75" s="16" t="s">
        <v>149</v>
      </c>
      <c r="D75" s="17" t="s">
        <v>29</v>
      </c>
      <c r="E75" s="18">
        <v>122.9</v>
      </c>
      <c r="F75" s="19">
        <v>1</v>
      </c>
      <c r="G75" s="20">
        <f t="shared" si="1"/>
        <v>122.9</v>
      </c>
    </row>
    <row r="76" spans="1:7" s="6" customFormat="1" ht="24" customHeight="1">
      <c r="A76" s="14" t="s">
        <v>494</v>
      </c>
      <c r="B76" s="15" t="s">
        <v>150</v>
      </c>
      <c r="C76" s="16" t="s">
        <v>525</v>
      </c>
      <c r="D76" s="17" t="s">
        <v>188</v>
      </c>
      <c r="E76" s="18">
        <v>838.04</v>
      </c>
      <c r="F76" s="19">
        <v>1</v>
      </c>
      <c r="G76" s="20">
        <f t="shared" si="1"/>
        <v>838.04</v>
      </c>
    </row>
    <row r="77" spans="1:7" s="6" customFormat="1" ht="24" customHeight="1">
      <c r="A77" s="14" t="s">
        <v>494</v>
      </c>
      <c r="B77" s="15" t="s">
        <v>126</v>
      </c>
      <c r="C77" s="16" t="s">
        <v>127</v>
      </c>
      <c r="D77" s="17" t="s">
        <v>35</v>
      </c>
      <c r="E77" s="18">
        <v>744.9</v>
      </c>
      <c r="F77" s="19">
        <v>1</v>
      </c>
      <c r="G77" s="20">
        <f t="shared" si="1"/>
        <v>744.9</v>
      </c>
    </row>
    <row r="78" spans="1:7" s="6" customFormat="1" ht="24" customHeight="1">
      <c r="A78" s="14" t="s">
        <v>494</v>
      </c>
      <c r="B78" s="15" t="s">
        <v>568</v>
      </c>
      <c r="C78" s="16" t="s">
        <v>569</v>
      </c>
      <c r="D78" s="17" t="s">
        <v>26</v>
      </c>
      <c r="E78" s="18">
        <v>33.31</v>
      </c>
      <c r="F78" s="19">
        <v>1</v>
      </c>
      <c r="G78" s="20">
        <f t="shared" si="1"/>
        <v>33.31</v>
      </c>
    </row>
    <row r="79" spans="1:7" s="6" customFormat="1" ht="24" customHeight="1">
      <c r="A79" s="14" t="s">
        <v>494</v>
      </c>
      <c r="B79" s="15" t="s">
        <v>168</v>
      </c>
      <c r="C79" s="16" t="s">
        <v>169</v>
      </c>
      <c r="D79" s="17" t="s">
        <v>77</v>
      </c>
      <c r="E79" s="18">
        <v>87.72</v>
      </c>
      <c r="F79" s="19">
        <v>1</v>
      </c>
      <c r="G79" s="20">
        <f t="shared" si="1"/>
        <v>87.72</v>
      </c>
    </row>
    <row r="80" spans="1:7" s="6" customFormat="1" ht="24" customHeight="1">
      <c r="A80" s="14" t="s">
        <v>494</v>
      </c>
      <c r="B80" s="15" t="s">
        <v>93</v>
      </c>
      <c r="C80" s="16" t="s">
        <v>94</v>
      </c>
      <c r="D80" s="17" t="s">
        <v>95</v>
      </c>
      <c r="E80" s="18">
        <v>4583.4399999999996</v>
      </c>
      <c r="F80" s="19">
        <v>1</v>
      </c>
      <c r="G80" s="20">
        <f t="shared" si="1"/>
        <v>4583.4399999999996</v>
      </c>
    </row>
    <row r="81" spans="1:7" s="6" customFormat="1" ht="24" customHeight="1">
      <c r="A81" s="14" t="s">
        <v>494</v>
      </c>
      <c r="B81" s="15" t="s">
        <v>89</v>
      </c>
      <c r="C81" s="16" t="s">
        <v>526</v>
      </c>
      <c r="D81" s="17" t="s">
        <v>14</v>
      </c>
      <c r="E81" s="18">
        <v>4307.8100000000004</v>
      </c>
      <c r="F81" s="19">
        <v>1</v>
      </c>
      <c r="G81" s="20">
        <f t="shared" si="1"/>
        <v>4307.8100000000004</v>
      </c>
    </row>
    <row r="82" spans="1:7" s="6" customFormat="1" ht="24" customHeight="1">
      <c r="A82" s="14" t="s">
        <v>494</v>
      </c>
      <c r="B82" s="15" t="s">
        <v>124</v>
      </c>
      <c r="C82" s="16" t="s">
        <v>125</v>
      </c>
      <c r="D82" s="17" t="s">
        <v>46</v>
      </c>
      <c r="E82" s="18">
        <v>22.05</v>
      </c>
      <c r="F82" s="19">
        <v>1</v>
      </c>
      <c r="G82" s="20">
        <f t="shared" si="1"/>
        <v>22.05</v>
      </c>
    </row>
    <row r="83" spans="1:7" s="6" customFormat="1" ht="24" customHeight="1">
      <c r="A83" s="14" t="s">
        <v>494</v>
      </c>
      <c r="B83" s="15" t="s">
        <v>84</v>
      </c>
      <c r="C83" s="16" t="s">
        <v>85</v>
      </c>
      <c r="D83" s="17" t="s">
        <v>86</v>
      </c>
      <c r="E83" s="18">
        <v>66.64</v>
      </c>
      <c r="F83" s="19">
        <v>1</v>
      </c>
      <c r="G83" s="20">
        <f t="shared" si="1"/>
        <v>66.64</v>
      </c>
    </row>
    <row r="84" spans="1:7" s="6" customFormat="1" ht="24" customHeight="1">
      <c r="A84" s="14" t="s">
        <v>494</v>
      </c>
      <c r="B84" s="15" t="s">
        <v>105</v>
      </c>
      <c r="C84" s="16" t="s">
        <v>106</v>
      </c>
      <c r="D84" s="17" t="s">
        <v>32</v>
      </c>
      <c r="E84" s="18">
        <v>126</v>
      </c>
      <c r="F84" s="19">
        <v>1</v>
      </c>
      <c r="G84" s="20">
        <f t="shared" si="1"/>
        <v>126</v>
      </c>
    </row>
    <row r="85" spans="1:7" s="6" customFormat="1" ht="24" customHeight="1">
      <c r="A85" s="14" t="s">
        <v>494</v>
      </c>
      <c r="B85" s="15" t="s">
        <v>151</v>
      </c>
      <c r="C85" s="16" t="s">
        <v>152</v>
      </c>
      <c r="D85" s="17" t="s">
        <v>14</v>
      </c>
      <c r="E85" s="18">
        <v>210</v>
      </c>
      <c r="F85" s="19">
        <v>1</v>
      </c>
      <c r="G85" s="20">
        <f t="shared" si="1"/>
        <v>210</v>
      </c>
    </row>
    <row r="86" spans="1:7" s="6" customFormat="1" ht="24" customHeight="1">
      <c r="A86" s="14" t="s">
        <v>494</v>
      </c>
      <c r="B86" s="15" t="s">
        <v>98</v>
      </c>
      <c r="C86" s="21" t="s">
        <v>99</v>
      </c>
      <c r="D86" s="17" t="s">
        <v>100</v>
      </c>
      <c r="E86" s="18">
        <v>47.9</v>
      </c>
      <c r="F86" s="19">
        <v>1</v>
      </c>
      <c r="G86" s="20">
        <f t="shared" si="1"/>
        <v>47.9</v>
      </c>
    </row>
    <row r="87" spans="1:7" s="6" customFormat="1" ht="24" customHeight="1">
      <c r="A87" s="14" t="s">
        <v>494</v>
      </c>
      <c r="B87" s="15" t="s">
        <v>96</v>
      </c>
      <c r="C87" s="16" t="s">
        <v>97</v>
      </c>
      <c r="D87" s="17" t="s">
        <v>26</v>
      </c>
      <c r="E87" s="18">
        <v>574</v>
      </c>
      <c r="F87" s="19">
        <v>1</v>
      </c>
      <c r="G87" s="20">
        <f t="shared" si="1"/>
        <v>574</v>
      </c>
    </row>
    <row r="88" spans="1:7" s="6" customFormat="1" ht="24" customHeight="1">
      <c r="A88" s="14" t="s">
        <v>494</v>
      </c>
      <c r="B88" s="15" t="s">
        <v>22</v>
      </c>
      <c r="C88" s="16" t="s">
        <v>23</v>
      </c>
      <c r="D88" s="17" t="s">
        <v>24</v>
      </c>
      <c r="E88" s="18">
        <v>950</v>
      </c>
      <c r="F88" s="19">
        <v>1</v>
      </c>
      <c r="G88" s="20">
        <f t="shared" si="1"/>
        <v>950</v>
      </c>
    </row>
    <row r="89" spans="1:7" s="6" customFormat="1" ht="24" customHeight="1">
      <c r="A89" s="14" t="s">
        <v>494</v>
      </c>
      <c r="B89" s="15" t="s">
        <v>156</v>
      </c>
      <c r="C89" s="16" t="s">
        <v>157</v>
      </c>
      <c r="D89" s="17" t="s">
        <v>158</v>
      </c>
      <c r="E89" s="18">
        <v>209.2</v>
      </c>
      <c r="F89" s="19">
        <v>1</v>
      </c>
      <c r="G89" s="20">
        <f t="shared" si="1"/>
        <v>209.2</v>
      </c>
    </row>
    <row r="90" spans="1:7" s="6" customFormat="1" ht="24" customHeight="1">
      <c r="A90" s="14" t="s">
        <v>494</v>
      </c>
      <c r="B90" s="15" t="s">
        <v>153</v>
      </c>
      <c r="C90" s="16" t="s">
        <v>154</v>
      </c>
      <c r="D90" s="17" t="s">
        <v>155</v>
      </c>
      <c r="E90" s="18">
        <v>250.3</v>
      </c>
      <c r="F90" s="19">
        <v>1</v>
      </c>
      <c r="G90" s="20">
        <f t="shared" si="1"/>
        <v>250.3</v>
      </c>
    </row>
    <row r="91" spans="1:7" s="6" customFormat="1" ht="24" customHeight="1">
      <c r="A91" s="14" t="s">
        <v>494</v>
      </c>
      <c r="B91" s="15" t="s">
        <v>90</v>
      </c>
      <c r="C91" s="16" t="s">
        <v>91</v>
      </c>
      <c r="D91" s="17" t="s">
        <v>92</v>
      </c>
      <c r="E91" s="18">
        <v>4654.6899999999996</v>
      </c>
      <c r="F91" s="19">
        <v>1</v>
      </c>
      <c r="G91" s="20">
        <f t="shared" si="1"/>
        <v>4654.6899999999996</v>
      </c>
    </row>
    <row r="92" spans="1:7" s="6" customFormat="1" ht="24" customHeight="1">
      <c r="A92" s="14" t="s">
        <v>494</v>
      </c>
      <c r="B92" s="15" t="s">
        <v>131</v>
      </c>
      <c r="C92" s="16" t="s">
        <v>132</v>
      </c>
      <c r="D92" s="17" t="s">
        <v>14</v>
      </c>
      <c r="E92" s="18">
        <v>152</v>
      </c>
      <c r="F92" s="19">
        <v>1</v>
      </c>
      <c r="G92" s="20">
        <f t="shared" si="1"/>
        <v>152</v>
      </c>
    </row>
    <row r="93" spans="1:7" s="6" customFormat="1" ht="24" customHeight="1">
      <c r="A93" s="14" t="s">
        <v>494</v>
      </c>
      <c r="B93" s="15" t="s">
        <v>115</v>
      </c>
      <c r="C93" s="16" t="s">
        <v>116</v>
      </c>
      <c r="D93" s="17" t="s">
        <v>21</v>
      </c>
      <c r="E93" s="18">
        <v>25.09</v>
      </c>
      <c r="F93" s="19">
        <v>1</v>
      </c>
      <c r="G93" s="20">
        <f t="shared" si="1"/>
        <v>25.09</v>
      </c>
    </row>
    <row r="94" spans="1:7" s="6" customFormat="1" ht="24" customHeight="1">
      <c r="A94" s="14" t="s">
        <v>494</v>
      </c>
      <c r="B94" s="15" t="s">
        <v>36</v>
      </c>
      <c r="C94" s="16" t="s">
        <v>37</v>
      </c>
      <c r="D94" s="17" t="s">
        <v>24</v>
      </c>
      <c r="E94" s="18">
        <v>175</v>
      </c>
      <c r="F94" s="19">
        <v>1</v>
      </c>
      <c r="G94" s="20">
        <f t="shared" si="1"/>
        <v>175</v>
      </c>
    </row>
    <row r="95" spans="1:7" s="6" customFormat="1" ht="24" customHeight="1">
      <c r="A95" s="14" t="s">
        <v>494</v>
      </c>
      <c r="B95" s="15" t="s">
        <v>13</v>
      </c>
      <c r="C95" s="16" t="s">
        <v>83</v>
      </c>
      <c r="D95" s="17" t="s">
        <v>14</v>
      </c>
      <c r="E95" s="18">
        <v>460</v>
      </c>
      <c r="F95" s="19">
        <v>1</v>
      </c>
      <c r="G95" s="20">
        <f t="shared" si="1"/>
        <v>460</v>
      </c>
    </row>
    <row r="96" spans="1:7" s="6" customFormat="1" ht="24" customHeight="1">
      <c r="A96" s="14" t="s">
        <v>494</v>
      </c>
      <c r="B96" s="15" t="s">
        <v>159</v>
      </c>
      <c r="C96" s="16" t="s">
        <v>160</v>
      </c>
      <c r="D96" s="17" t="s">
        <v>92</v>
      </c>
      <c r="E96" s="18">
        <v>109.9</v>
      </c>
      <c r="F96" s="19">
        <v>1</v>
      </c>
      <c r="G96" s="20">
        <f t="shared" si="1"/>
        <v>109.9</v>
      </c>
    </row>
    <row r="97" spans="1:7" s="6" customFormat="1" ht="24" customHeight="1">
      <c r="A97" s="14" t="s">
        <v>494</v>
      </c>
      <c r="B97" s="15" t="s">
        <v>161</v>
      </c>
      <c r="C97" s="16">
        <v>527</v>
      </c>
      <c r="D97" s="17" t="s">
        <v>100</v>
      </c>
      <c r="E97" s="18">
        <v>24.68</v>
      </c>
      <c r="F97" s="19">
        <v>1</v>
      </c>
      <c r="G97" s="20">
        <f t="shared" si="1"/>
        <v>24.68</v>
      </c>
    </row>
    <row r="98" spans="1:7" s="6" customFormat="1" ht="24" customHeight="1">
      <c r="A98" s="14" t="s">
        <v>494</v>
      </c>
      <c r="B98" s="15" t="s">
        <v>33</v>
      </c>
      <c r="C98" s="16" t="s">
        <v>34</v>
      </c>
      <c r="D98" s="17" t="s">
        <v>35</v>
      </c>
      <c r="E98" s="18">
        <v>662.4</v>
      </c>
      <c r="F98" s="19">
        <v>1</v>
      </c>
      <c r="G98" s="20">
        <f t="shared" si="1"/>
        <v>662.4</v>
      </c>
    </row>
    <row r="99" spans="1:7" s="6" customFormat="1" ht="24" customHeight="1">
      <c r="A99" s="14" t="s">
        <v>494</v>
      </c>
      <c r="B99" s="15" t="s">
        <v>162</v>
      </c>
      <c r="C99" s="16" t="s">
        <v>163</v>
      </c>
      <c r="D99" s="17" t="s">
        <v>29</v>
      </c>
      <c r="E99" s="18">
        <v>186.56</v>
      </c>
      <c r="F99" s="19">
        <v>1</v>
      </c>
      <c r="G99" s="20">
        <f t="shared" si="1"/>
        <v>186.56</v>
      </c>
    </row>
    <row r="100" spans="1:7" s="6" customFormat="1" ht="24" customHeight="1">
      <c r="A100" s="14" t="s">
        <v>494</v>
      </c>
      <c r="B100" s="15" t="s">
        <v>166</v>
      </c>
      <c r="C100" s="16" t="s">
        <v>167</v>
      </c>
      <c r="D100" s="17" t="s">
        <v>24</v>
      </c>
      <c r="E100" s="18">
        <v>426.6</v>
      </c>
      <c r="F100" s="19">
        <v>1</v>
      </c>
      <c r="G100" s="20">
        <f t="shared" si="1"/>
        <v>426.6</v>
      </c>
    </row>
    <row r="101" spans="1:7" s="6" customFormat="1" ht="24" customHeight="1">
      <c r="A101" s="14" t="s">
        <v>494</v>
      </c>
      <c r="B101" s="15" t="s">
        <v>164</v>
      </c>
      <c r="C101" s="16" t="s">
        <v>165</v>
      </c>
      <c r="D101" s="17" t="s">
        <v>139</v>
      </c>
      <c r="E101" s="18">
        <v>2515</v>
      </c>
      <c r="F101" s="19">
        <v>1</v>
      </c>
      <c r="G101" s="20">
        <f t="shared" si="1"/>
        <v>2515</v>
      </c>
    </row>
    <row r="102" spans="1:7" s="6" customFormat="1" ht="24" customHeight="1">
      <c r="A102" s="14" t="s">
        <v>494</v>
      </c>
      <c r="B102" s="15" t="s">
        <v>129</v>
      </c>
      <c r="C102" s="16" t="s">
        <v>130</v>
      </c>
      <c r="D102" s="17" t="s">
        <v>35</v>
      </c>
      <c r="E102" s="18">
        <v>57.02</v>
      </c>
      <c r="F102" s="19">
        <v>1</v>
      </c>
      <c r="G102" s="20">
        <f t="shared" si="1"/>
        <v>57.02</v>
      </c>
    </row>
    <row r="103" spans="1:7" s="6" customFormat="1" ht="24" customHeight="1">
      <c r="A103" s="14" t="s">
        <v>494</v>
      </c>
      <c r="B103" s="15" t="s">
        <v>27</v>
      </c>
      <c r="C103" s="16" t="s">
        <v>28</v>
      </c>
      <c r="D103" s="17" t="s">
        <v>29</v>
      </c>
      <c r="E103" s="18">
        <v>73.22</v>
      </c>
      <c r="F103" s="19">
        <v>1</v>
      </c>
      <c r="G103" s="20">
        <f t="shared" si="1"/>
        <v>73.22</v>
      </c>
    </row>
    <row r="104" spans="1:7" s="6" customFormat="1" ht="24" customHeight="1">
      <c r="A104" s="14" t="s">
        <v>494</v>
      </c>
      <c r="B104" s="15" t="s">
        <v>119</v>
      </c>
      <c r="C104" s="16" t="s">
        <v>120</v>
      </c>
      <c r="D104" s="17" t="s">
        <v>100</v>
      </c>
      <c r="E104" s="18">
        <v>70.78</v>
      </c>
      <c r="F104" s="19">
        <v>1</v>
      </c>
      <c r="G104" s="20">
        <f t="shared" si="1"/>
        <v>70.78</v>
      </c>
    </row>
    <row r="105" spans="1:7" s="6" customFormat="1" ht="24" customHeight="1">
      <c r="A105" s="14" t="s">
        <v>494</v>
      </c>
      <c r="B105" s="15" t="s">
        <v>87</v>
      </c>
      <c r="C105" s="21" t="s">
        <v>88</v>
      </c>
      <c r="D105" s="17" t="s">
        <v>21</v>
      </c>
      <c r="E105" s="18">
        <v>2158</v>
      </c>
      <c r="F105" s="19">
        <v>1</v>
      </c>
      <c r="G105" s="20">
        <f t="shared" si="1"/>
        <v>2158</v>
      </c>
    </row>
    <row r="106" spans="1:7" s="6" customFormat="1" ht="24" customHeight="1">
      <c r="A106" s="14" t="s">
        <v>494</v>
      </c>
      <c r="B106" s="15" t="s">
        <v>439</v>
      </c>
      <c r="C106" s="16" t="s">
        <v>440</v>
      </c>
      <c r="D106" s="17" t="s">
        <v>92</v>
      </c>
      <c r="E106" s="18">
        <v>10.4</v>
      </c>
      <c r="F106" s="19">
        <v>1</v>
      </c>
      <c r="G106" s="20">
        <f t="shared" si="1"/>
        <v>10.4</v>
      </c>
    </row>
    <row r="107" spans="1:7" s="6" customFormat="1" ht="24" customHeight="1">
      <c r="A107" s="14" t="s">
        <v>494</v>
      </c>
      <c r="B107" s="15" t="s">
        <v>12</v>
      </c>
      <c r="C107" s="16" t="s">
        <v>527</v>
      </c>
      <c r="D107" s="17" t="s">
        <v>139</v>
      </c>
      <c r="E107" s="18">
        <v>265.7</v>
      </c>
      <c r="F107" s="19">
        <v>1</v>
      </c>
      <c r="G107" s="20">
        <f t="shared" si="1"/>
        <v>265.7</v>
      </c>
    </row>
    <row r="108" spans="1:7" s="6" customFormat="1" ht="24" customHeight="1">
      <c r="A108" s="14" t="s">
        <v>494</v>
      </c>
      <c r="B108" s="15" t="s">
        <v>463</v>
      </c>
      <c r="C108" s="16" t="s">
        <v>464</v>
      </c>
      <c r="D108" s="17" t="s">
        <v>10</v>
      </c>
      <c r="E108" s="18">
        <v>149.06</v>
      </c>
      <c r="F108" s="19">
        <v>1</v>
      </c>
      <c r="G108" s="20">
        <f t="shared" si="1"/>
        <v>149.06</v>
      </c>
    </row>
    <row r="109" spans="1:7" s="6" customFormat="1" ht="24" customHeight="1">
      <c r="A109" s="14" t="s">
        <v>494</v>
      </c>
      <c r="B109" s="15" t="s">
        <v>61</v>
      </c>
      <c r="C109" s="16" t="s">
        <v>62</v>
      </c>
      <c r="D109" s="17" t="s">
        <v>26</v>
      </c>
      <c r="E109" s="18">
        <v>34.5</v>
      </c>
      <c r="F109" s="19">
        <v>1</v>
      </c>
      <c r="G109" s="20">
        <f t="shared" si="1"/>
        <v>34.5</v>
      </c>
    </row>
    <row r="110" spans="1:7" s="6" customFormat="1" ht="24" customHeight="1">
      <c r="A110" s="14" t="s">
        <v>494</v>
      </c>
      <c r="B110" s="15" t="s">
        <v>9</v>
      </c>
      <c r="C110" s="16">
        <v>7149952</v>
      </c>
      <c r="D110" s="17" t="s">
        <v>10</v>
      </c>
      <c r="E110" s="18">
        <v>70</v>
      </c>
      <c r="F110" s="19">
        <v>1</v>
      </c>
      <c r="G110" s="20">
        <f t="shared" si="1"/>
        <v>70</v>
      </c>
    </row>
    <row r="111" spans="1:7" s="6" customFormat="1" ht="24" customHeight="1">
      <c r="A111" s="14" t="s">
        <v>494</v>
      </c>
      <c r="B111" s="15" t="s">
        <v>378</v>
      </c>
      <c r="C111" s="16" t="s">
        <v>379</v>
      </c>
      <c r="D111" s="17" t="s">
        <v>77</v>
      </c>
      <c r="E111" s="18">
        <v>626.25</v>
      </c>
      <c r="F111" s="19">
        <v>1</v>
      </c>
      <c r="G111" s="20">
        <f t="shared" si="1"/>
        <v>626.25</v>
      </c>
    </row>
    <row r="112" spans="1:7" s="6" customFormat="1" ht="24" customHeight="1">
      <c r="A112" s="14" t="s">
        <v>494</v>
      </c>
      <c r="B112" s="15" t="s">
        <v>68</v>
      </c>
      <c r="C112" s="16">
        <v>4756222</v>
      </c>
      <c r="D112" s="17" t="s">
        <v>46</v>
      </c>
      <c r="E112" s="18">
        <v>25.42</v>
      </c>
      <c r="F112" s="19">
        <v>1</v>
      </c>
      <c r="G112" s="20">
        <f t="shared" si="1"/>
        <v>25.42</v>
      </c>
    </row>
    <row r="113" spans="1:7" s="6" customFormat="1" ht="24" customHeight="1">
      <c r="A113" s="14" t="s">
        <v>494</v>
      </c>
      <c r="B113" s="15" t="s">
        <v>66</v>
      </c>
      <c r="C113" s="16" t="s">
        <v>67</v>
      </c>
      <c r="D113" s="17" t="s">
        <v>46</v>
      </c>
      <c r="E113" s="18">
        <v>25.7</v>
      </c>
      <c r="F113" s="19">
        <v>1</v>
      </c>
      <c r="G113" s="20">
        <f t="shared" si="1"/>
        <v>25.7</v>
      </c>
    </row>
    <row r="114" spans="1:7" s="6" customFormat="1" ht="24" customHeight="1">
      <c r="A114" s="14" t="s">
        <v>494</v>
      </c>
      <c r="B114" s="15" t="s">
        <v>465</v>
      </c>
      <c r="C114" s="16" t="s">
        <v>466</v>
      </c>
      <c r="D114" s="17" t="s">
        <v>32</v>
      </c>
      <c r="E114" s="18">
        <v>225.78</v>
      </c>
      <c r="F114" s="19">
        <v>1</v>
      </c>
      <c r="G114" s="20">
        <f t="shared" si="1"/>
        <v>225.78</v>
      </c>
    </row>
    <row r="115" spans="1:7" s="6" customFormat="1" ht="24" customHeight="1">
      <c r="A115" s="14" t="s">
        <v>494</v>
      </c>
      <c r="B115" s="15" t="s">
        <v>467</v>
      </c>
      <c r="C115" s="16" t="s">
        <v>468</v>
      </c>
      <c r="D115" s="17" t="s">
        <v>56</v>
      </c>
      <c r="E115" s="18">
        <v>100.23</v>
      </c>
      <c r="F115" s="19">
        <v>1</v>
      </c>
      <c r="G115" s="20">
        <f t="shared" si="1"/>
        <v>100.23</v>
      </c>
    </row>
    <row r="116" spans="1:7" s="6" customFormat="1" ht="24" customHeight="1">
      <c r="A116" s="14" t="s">
        <v>494</v>
      </c>
      <c r="B116" s="15" t="s">
        <v>82</v>
      </c>
      <c r="C116" s="21" t="s">
        <v>528</v>
      </c>
      <c r="D116" s="17" t="s">
        <v>14</v>
      </c>
      <c r="E116" s="18">
        <v>18</v>
      </c>
      <c r="F116" s="19">
        <v>1</v>
      </c>
      <c r="G116" s="20">
        <f t="shared" si="1"/>
        <v>18</v>
      </c>
    </row>
    <row r="117" spans="1:7" s="6" customFormat="1" ht="24" customHeight="1">
      <c r="A117" s="14" t="s">
        <v>494</v>
      </c>
      <c r="B117" s="15" t="s">
        <v>80</v>
      </c>
      <c r="C117" s="16" t="s">
        <v>81</v>
      </c>
      <c r="D117" s="17" t="s">
        <v>32</v>
      </c>
      <c r="E117" s="18">
        <v>36.9</v>
      </c>
      <c r="F117" s="19">
        <v>1</v>
      </c>
      <c r="G117" s="20">
        <f t="shared" si="1"/>
        <v>36.9</v>
      </c>
    </row>
    <row r="118" spans="1:7" s="6" customFormat="1" ht="24" customHeight="1">
      <c r="A118" s="14" t="s">
        <v>494</v>
      </c>
      <c r="B118" s="15" t="s">
        <v>415</v>
      </c>
      <c r="C118" s="16" t="s">
        <v>416</v>
      </c>
      <c r="D118" s="17" t="s">
        <v>86</v>
      </c>
      <c r="E118" s="18">
        <v>174.5</v>
      </c>
      <c r="F118" s="19">
        <v>1</v>
      </c>
      <c r="G118" s="20">
        <f t="shared" si="1"/>
        <v>174.5</v>
      </c>
    </row>
    <row r="119" spans="1:7" s="6" customFormat="1" ht="24" customHeight="1">
      <c r="A119" s="14" t="s">
        <v>494</v>
      </c>
      <c r="B119" s="15" t="s">
        <v>267</v>
      </c>
      <c r="C119" s="16" t="s">
        <v>268</v>
      </c>
      <c r="D119" s="17" t="s">
        <v>35</v>
      </c>
      <c r="E119" s="18">
        <v>32.4</v>
      </c>
      <c r="F119" s="19">
        <v>1</v>
      </c>
      <c r="G119" s="20">
        <f t="shared" si="1"/>
        <v>32.4</v>
      </c>
    </row>
    <row r="120" spans="1:7" s="6" customFormat="1" ht="24" customHeight="1">
      <c r="A120" s="14" t="s">
        <v>494</v>
      </c>
      <c r="B120" s="15" t="s">
        <v>469</v>
      </c>
      <c r="C120" s="16" t="s">
        <v>470</v>
      </c>
      <c r="D120" s="17" t="s">
        <v>471</v>
      </c>
      <c r="E120" s="18">
        <v>89</v>
      </c>
      <c r="F120" s="19">
        <v>1</v>
      </c>
      <c r="G120" s="20">
        <f t="shared" si="1"/>
        <v>89</v>
      </c>
    </row>
    <row r="121" spans="1:7" s="6" customFormat="1" ht="24" customHeight="1">
      <c r="A121" s="14" t="s">
        <v>494</v>
      </c>
      <c r="B121" s="15" t="s">
        <v>472</v>
      </c>
      <c r="C121" s="16" t="s">
        <v>473</v>
      </c>
      <c r="D121" s="17" t="s">
        <v>26</v>
      </c>
      <c r="E121" s="18">
        <v>380</v>
      </c>
      <c r="F121" s="19">
        <v>1</v>
      </c>
      <c r="G121" s="20">
        <f t="shared" si="1"/>
        <v>380</v>
      </c>
    </row>
    <row r="122" spans="1:7" s="6" customFormat="1" ht="24" customHeight="1">
      <c r="A122" s="14" t="s">
        <v>494</v>
      </c>
      <c r="B122" s="15" t="s">
        <v>474</v>
      </c>
      <c r="C122" s="16" t="s">
        <v>529</v>
      </c>
      <c r="D122" s="17" t="s">
        <v>155</v>
      </c>
      <c r="E122" s="18">
        <v>178</v>
      </c>
      <c r="F122" s="19">
        <v>1</v>
      </c>
      <c r="G122" s="20">
        <f t="shared" si="1"/>
        <v>178</v>
      </c>
    </row>
    <row r="123" spans="1:7" s="6" customFormat="1" ht="24" customHeight="1">
      <c r="A123" s="14" t="s">
        <v>494</v>
      </c>
      <c r="B123" s="15" t="s">
        <v>265</v>
      </c>
      <c r="C123" s="16" t="s">
        <v>266</v>
      </c>
      <c r="D123" s="17" t="s">
        <v>40</v>
      </c>
      <c r="E123" s="18">
        <v>74.62</v>
      </c>
      <c r="F123" s="19">
        <v>1</v>
      </c>
      <c r="G123" s="20">
        <f t="shared" si="1"/>
        <v>74.62</v>
      </c>
    </row>
    <row r="124" spans="1:7" s="6" customFormat="1" ht="24" customHeight="1">
      <c r="A124" s="14" t="s">
        <v>494</v>
      </c>
      <c r="B124" s="15" t="s">
        <v>78</v>
      </c>
      <c r="C124" s="16" t="s">
        <v>79</v>
      </c>
      <c r="D124" s="17" t="s">
        <v>56</v>
      </c>
      <c r="E124" s="18">
        <v>74.02</v>
      </c>
      <c r="F124" s="19">
        <v>1</v>
      </c>
      <c r="G124" s="20">
        <f t="shared" si="1"/>
        <v>74.02</v>
      </c>
    </row>
    <row r="125" spans="1:7" s="6" customFormat="1" ht="24" customHeight="1">
      <c r="A125" s="14" t="s">
        <v>494</v>
      </c>
      <c r="B125" s="15" t="s">
        <v>475</v>
      </c>
      <c r="C125" s="16" t="s">
        <v>476</v>
      </c>
      <c r="D125" s="17" t="s">
        <v>477</v>
      </c>
      <c r="E125" s="18">
        <v>75.94</v>
      </c>
      <c r="F125" s="19">
        <v>1</v>
      </c>
      <c r="G125" s="20">
        <f t="shared" si="1"/>
        <v>75.94</v>
      </c>
    </row>
    <row r="126" spans="1:7" s="6" customFormat="1" ht="24" customHeight="1">
      <c r="A126" s="14" t="s">
        <v>494</v>
      </c>
      <c r="B126" s="15" t="s">
        <v>566</v>
      </c>
      <c r="C126" s="16" t="s">
        <v>567</v>
      </c>
      <c r="D126" s="17" t="s">
        <v>292</v>
      </c>
      <c r="E126" s="18">
        <v>266</v>
      </c>
      <c r="F126" s="19">
        <v>1</v>
      </c>
      <c r="G126" s="20">
        <f t="shared" si="1"/>
        <v>266</v>
      </c>
    </row>
    <row r="127" spans="1:7" s="6" customFormat="1" ht="24" customHeight="1">
      <c r="A127" s="14" t="s">
        <v>494</v>
      </c>
      <c r="B127" s="15" t="s">
        <v>478</v>
      </c>
      <c r="C127" s="16" t="s">
        <v>479</v>
      </c>
      <c r="D127" s="17" t="s">
        <v>471</v>
      </c>
      <c r="E127" s="18">
        <v>91.88</v>
      </c>
      <c r="F127" s="19">
        <v>1</v>
      </c>
      <c r="G127" s="20">
        <f t="shared" si="1"/>
        <v>91.88</v>
      </c>
    </row>
    <row r="128" spans="1:7" s="6" customFormat="1" ht="24" customHeight="1">
      <c r="A128" s="14" t="s">
        <v>494</v>
      </c>
      <c r="B128" s="15" t="s">
        <v>480</v>
      </c>
      <c r="C128" s="16" t="s">
        <v>481</v>
      </c>
      <c r="D128" s="17" t="s">
        <v>482</v>
      </c>
      <c r="E128" s="18">
        <v>89</v>
      </c>
      <c r="F128" s="19">
        <v>1</v>
      </c>
      <c r="G128" s="20">
        <f t="shared" si="1"/>
        <v>89</v>
      </c>
    </row>
    <row r="129" spans="1:7" s="6" customFormat="1" ht="24" customHeight="1">
      <c r="A129" s="14" t="s">
        <v>494</v>
      </c>
      <c r="B129" s="15" t="s">
        <v>47</v>
      </c>
      <c r="C129" s="16" t="s">
        <v>48</v>
      </c>
      <c r="D129" s="17" t="s">
        <v>49</v>
      </c>
      <c r="E129" s="18">
        <v>140.5</v>
      </c>
      <c r="F129" s="19">
        <v>1</v>
      </c>
      <c r="G129" s="20">
        <f t="shared" si="1"/>
        <v>140.5</v>
      </c>
    </row>
    <row r="130" spans="1:7" s="6" customFormat="1" ht="24" customHeight="1">
      <c r="A130" s="14" t="s">
        <v>494</v>
      </c>
      <c r="B130" s="15" t="s">
        <v>419</v>
      </c>
      <c r="C130" s="16" t="s">
        <v>420</v>
      </c>
      <c r="D130" s="17" t="s">
        <v>100</v>
      </c>
      <c r="E130" s="18">
        <v>174.3</v>
      </c>
      <c r="F130" s="19">
        <v>1</v>
      </c>
      <c r="G130" s="20">
        <f t="shared" si="1"/>
        <v>174.3</v>
      </c>
    </row>
    <row r="131" spans="1:7" s="6" customFormat="1" ht="24" customHeight="1">
      <c r="A131" s="14" t="s">
        <v>494</v>
      </c>
      <c r="B131" s="15" t="s">
        <v>562</v>
      </c>
      <c r="C131" s="16" t="s">
        <v>563</v>
      </c>
      <c r="D131" s="17" t="s">
        <v>46</v>
      </c>
      <c r="E131" s="18">
        <v>79.849999999999994</v>
      </c>
      <c r="F131" s="19">
        <v>1</v>
      </c>
      <c r="G131" s="20">
        <f t="shared" si="1"/>
        <v>79.849999999999994</v>
      </c>
    </row>
    <row r="132" spans="1:7" s="6" customFormat="1" ht="24" customHeight="1">
      <c r="A132" s="14" t="s">
        <v>494</v>
      </c>
      <c r="B132" s="15" t="s">
        <v>564</v>
      </c>
      <c r="C132" s="16" t="s">
        <v>565</v>
      </c>
      <c r="D132" s="17" t="s">
        <v>100</v>
      </c>
      <c r="E132" s="18">
        <v>109.21</v>
      </c>
      <c r="F132" s="19">
        <v>1</v>
      </c>
      <c r="G132" s="20">
        <f t="shared" si="1"/>
        <v>109.21</v>
      </c>
    </row>
    <row r="133" spans="1:7" s="6" customFormat="1" ht="24" customHeight="1">
      <c r="A133" s="14" t="s">
        <v>494</v>
      </c>
      <c r="B133" s="15" t="s">
        <v>424</v>
      </c>
      <c r="C133" s="16" t="s">
        <v>425</v>
      </c>
      <c r="D133" s="17" t="s">
        <v>21</v>
      </c>
      <c r="E133" s="18">
        <v>337.8</v>
      </c>
      <c r="F133" s="19">
        <v>1</v>
      </c>
      <c r="G133" s="20">
        <f t="shared" si="1"/>
        <v>337.8</v>
      </c>
    </row>
    <row r="134" spans="1:7" s="6" customFormat="1" ht="24" customHeight="1">
      <c r="A134" s="14" t="s">
        <v>494</v>
      </c>
      <c r="B134" s="15" t="s">
        <v>417</v>
      </c>
      <c r="C134" s="16" t="s">
        <v>418</v>
      </c>
      <c r="D134" s="17" t="s">
        <v>158</v>
      </c>
      <c r="E134" s="18">
        <v>234</v>
      </c>
      <c r="F134" s="19">
        <v>1</v>
      </c>
      <c r="G134" s="20">
        <f t="shared" si="1"/>
        <v>234</v>
      </c>
    </row>
    <row r="135" spans="1:7" s="6" customFormat="1" ht="24" customHeight="1">
      <c r="A135" s="14" t="s">
        <v>494</v>
      </c>
      <c r="B135" s="15" t="s">
        <v>428</v>
      </c>
      <c r="C135" s="16" t="s">
        <v>429</v>
      </c>
      <c r="D135" s="17" t="s">
        <v>29</v>
      </c>
      <c r="E135" s="18">
        <v>155.5</v>
      </c>
      <c r="F135" s="19">
        <v>1</v>
      </c>
      <c r="G135" s="20">
        <f t="shared" si="1"/>
        <v>155.5</v>
      </c>
    </row>
    <row r="136" spans="1:7" s="6" customFormat="1" ht="24" customHeight="1">
      <c r="A136" s="14" t="s">
        <v>494</v>
      </c>
      <c r="B136" s="15" t="s">
        <v>426</v>
      </c>
      <c r="C136" s="16" t="s">
        <v>427</v>
      </c>
      <c r="D136" s="17" t="s">
        <v>29</v>
      </c>
      <c r="E136" s="18">
        <v>159.30000000000001</v>
      </c>
      <c r="F136" s="19">
        <v>1</v>
      </c>
      <c r="G136" s="20">
        <f t="shared" si="1"/>
        <v>159.30000000000001</v>
      </c>
    </row>
    <row r="137" spans="1:7" s="6" customFormat="1" ht="24" customHeight="1">
      <c r="A137" s="14" t="s">
        <v>494</v>
      </c>
      <c r="B137" s="15" t="s">
        <v>560</v>
      </c>
      <c r="C137" s="16" t="s">
        <v>561</v>
      </c>
      <c r="D137" s="17" t="s">
        <v>26</v>
      </c>
      <c r="E137" s="18">
        <v>169.24</v>
      </c>
      <c r="F137" s="19">
        <v>1</v>
      </c>
      <c r="G137" s="20">
        <f t="shared" si="1"/>
        <v>169.24</v>
      </c>
    </row>
    <row r="138" spans="1:7" s="6" customFormat="1" ht="24" customHeight="1">
      <c r="A138" s="14" t="s">
        <v>494</v>
      </c>
      <c r="B138" s="15" t="s">
        <v>558</v>
      </c>
      <c r="C138" s="16" t="s">
        <v>559</v>
      </c>
      <c r="D138" s="17" t="s">
        <v>74</v>
      </c>
      <c r="E138" s="18">
        <v>293</v>
      </c>
      <c r="F138" s="19">
        <v>1</v>
      </c>
      <c r="G138" s="20">
        <f t="shared" ref="G138:G201" si="2">F138*E138</f>
        <v>293</v>
      </c>
    </row>
    <row r="139" spans="1:7" s="6" customFormat="1" ht="24" customHeight="1">
      <c r="A139" s="14" t="s">
        <v>494</v>
      </c>
      <c r="B139" s="15" t="s">
        <v>430</v>
      </c>
      <c r="C139" s="16" t="s">
        <v>431</v>
      </c>
      <c r="D139" s="17" t="s">
        <v>24</v>
      </c>
      <c r="E139" s="18">
        <v>625</v>
      </c>
      <c r="F139" s="19">
        <v>1</v>
      </c>
      <c r="G139" s="20">
        <f t="shared" si="2"/>
        <v>625</v>
      </c>
    </row>
    <row r="140" spans="1:7" s="6" customFormat="1" ht="24" customHeight="1">
      <c r="A140" s="14" t="s">
        <v>494</v>
      </c>
      <c r="B140" s="15" t="s">
        <v>421</v>
      </c>
      <c r="C140" s="16" t="s">
        <v>422</v>
      </c>
      <c r="D140" s="17" t="s">
        <v>29</v>
      </c>
      <c r="E140" s="18">
        <v>64.099999999999994</v>
      </c>
      <c r="F140" s="19">
        <v>1</v>
      </c>
      <c r="G140" s="20">
        <f t="shared" si="2"/>
        <v>64.099999999999994</v>
      </c>
    </row>
    <row r="141" spans="1:7" s="6" customFormat="1" ht="24" customHeight="1">
      <c r="A141" s="14" t="s">
        <v>494</v>
      </c>
      <c r="B141" s="15" t="s">
        <v>423</v>
      </c>
      <c r="C141" s="21" t="s">
        <v>530</v>
      </c>
      <c r="D141" s="17" t="s">
        <v>77</v>
      </c>
      <c r="E141" s="18">
        <v>108.28</v>
      </c>
      <c r="F141" s="19">
        <v>1</v>
      </c>
      <c r="G141" s="20">
        <f t="shared" si="2"/>
        <v>108.28</v>
      </c>
    </row>
    <row r="142" spans="1:7" s="6" customFormat="1" ht="24" customHeight="1">
      <c r="A142" s="14" t="s">
        <v>494</v>
      </c>
      <c r="B142" s="15" t="s">
        <v>432</v>
      </c>
      <c r="C142" s="16" t="s">
        <v>433</v>
      </c>
      <c r="D142" s="17" t="s">
        <v>10</v>
      </c>
      <c r="E142" s="18">
        <v>312.10000000000002</v>
      </c>
      <c r="F142" s="19">
        <v>1</v>
      </c>
      <c r="G142" s="20">
        <f t="shared" si="2"/>
        <v>312.10000000000002</v>
      </c>
    </row>
    <row r="143" spans="1:7" s="6" customFormat="1" ht="24" customHeight="1">
      <c r="A143" s="14" t="s">
        <v>494</v>
      </c>
      <c r="B143" s="15" t="s">
        <v>50</v>
      </c>
      <c r="C143" s="16" t="s">
        <v>436</v>
      </c>
      <c r="D143" s="17" t="s">
        <v>10</v>
      </c>
      <c r="E143" s="18">
        <v>103.13</v>
      </c>
      <c r="F143" s="19">
        <v>1</v>
      </c>
      <c r="G143" s="20">
        <f t="shared" si="2"/>
        <v>103.13</v>
      </c>
    </row>
    <row r="144" spans="1:7" s="6" customFormat="1" ht="24" customHeight="1">
      <c r="A144" s="14" t="s">
        <v>494</v>
      </c>
      <c r="B144" s="15" t="s">
        <v>434</v>
      </c>
      <c r="C144" s="16" t="s">
        <v>435</v>
      </c>
      <c r="D144" s="17" t="s">
        <v>40</v>
      </c>
      <c r="E144" s="18">
        <v>118.13</v>
      </c>
      <c r="F144" s="19">
        <v>1</v>
      </c>
      <c r="G144" s="20">
        <f t="shared" si="2"/>
        <v>118.13</v>
      </c>
    </row>
    <row r="145" spans="1:7" s="6" customFormat="1" ht="24" customHeight="1">
      <c r="A145" s="14" t="s">
        <v>494</v>
      </c>
      <c r="B145" s="15" t="s">
        <v>602</v>
      </c>
      <c r="C145" s="16" t="s">
        <v>603</v>
      </c>
      <c r="D145" s="17" t="s">
        <v>453</v>
      </c>
      <c r="E145" s="18">
        <v>62.58</v>
      </c>
      <c r="F145" s="19">
        <v>1</v>
      </c>
      <c r="G145" s="20">
        <f t="shared" si="2"/>
        <v>62.58</v>
      </c>
    </row>
    <row r="146" spans="1:7" s="6" customFormat="1" ht="24" customHeight="1">
      <c r="A146" s="14" t="s">
        <v>494</v>
      </c>
      <c r="B146" s="15" t="s">
        <v>69</v>
      </c>
      <c r="C146" s="16" t="s">
        <v>70</v>
      </c>
      <c r="D146" s="17" t="s">
        <v>71</v>
      </c>
      <c r="E146" s="18">
        <v>50.5</v>
      </c>
      <c r="F146" s="19">
        <v>1</v>
      </c>
      <c r="G146" s="20">
        <f t="shared" si="2"/>
        <v>50.5</v>
      </c>
    </row>
    <row r="147" spans="1:7" s="6" customFormat="1" ht="24" customHeight="1">
      <c r="A147" s="14" t="s">
        <v>494</v>
      </c>
      <c r="B147" s="15" t="s">
        <v>72</v>
      </c>
      <c r="C147" s="16" t="s">
        <v>73</v>
      </c>
      <c r="D147" s="17" t="s">
        <v>74</v>
      </c>
      <c r="E147" s="18">
        <v>22.5</v>
      </c>
      <c r="F147" s="19">
        <v>1</v>
      </c>
      <c r="G147" s="20">
        <f t="shared" si="2"/>
        <v>22.5</v>
      </c>
    </row>
    <row r="148" spans="1:7" s="6" customFormat="1" ht="24" customHeight="1">
      <c r="A148" s="14" t="s">
        <v>494</v>
      </c>
      <c r="B148" s="15" t="s">
        <v>75</v>
      </c>
      <c r="C148" s="16" t="s">
        <v>76</v>
      </c>
      <c r="D148" s="17" t="s">
        <v>77</v>
      </c>
      <c r="E148" s="18">
        <v>27.5</v>
      </c>
      <c r="F148" s="19">
        <v>1</v>
      </c>
      <c r="G148" s="20">
        <f t="shared" si="2"/>
        <v>27.5</v>
      </c>
    </row>
    <row r="149" spans="1:7" s="6" customFormat="1" ht="24" customHeight="1">
      <c r="A149" s="14" t="s">
        <v>494</v>
      </c>
      <c r="B149" s="15" t="s">
        <v>556</v>
      </c>
      <c r="C149" s="21" t="s">
        <v>557</v>
      </c>
      <c r="D149" s="17" t="s">
        <v>29</v>
      </c>
      <c r="E149" s="18">
        <v>304.5</v>
      </c>
      <c r="F149" s="19">
        <v>1</v>
      </c>
      <c r="G149" s="20">
        <f t="shared" si="2"/>
        <v>304.5</v>
      </c>
    </row>
    <row r="150" spans="1:7" s="6" customFormat="1" ht="24" customHeight="1">
      <c r="A150" s="14" t="s">
        <v>494</v>
      </c>
      <c r="B150" s="15" t="s">
        <v>309</v>
      </c>
      <c r="C150" s="16" t="s">
        <v>310</v>
      </c>
      <c r="D150" s="17" t="s">
        <v>14</v>
      </c>
      <c r="E150" s="18">
        <v>37.619999999999997</v>
      </c>
      <c r="F150" s="19">
        <v>1</v>
      </c>
      <c r="G150" s="20">
        <f t="shared" si="2"/>
        <v>37.619999999999997</v>
      </c>
    </row>
    <row r="151" spans="1:7" s="6" customFormat="1" ht="24" customHeight="1">
      <c r="A151" s="14" t="s">
        <v>494</v>
      </c>
      <c r="B151" s="15" t="s">
        <v>279</v>
      </c>
      <c r="C151" s="16" t="s">
        <v>280</v>
      </c>
      <c r="D151" s="17" t="s">
        <v>46</v>
      </c>
      <c r="E151" s="18">
        <v>20.5</v>
      </c>
      <c r="F151" s="19">
        <v>1</v>
      </c>
      <c r="G151" s="20">
        <f t="shared" si="2"/>
        <v>20.5</v>
      </c>
    </row>
    <row r="152" spans="1:7" s="6" customFormat="1" ht="24" customHeight="1">
      <c r="A152" s="14" t="s">
        <v>494</v>
      </c>
      <c r="B152" s="15" t="s">
        <v>278</v>
      </c>
      <c r="C152" s="16" t="s">
        <v>531</v>
      </c>
      <c r="D152" s="17" t="s">
        <v>35</v>
      </c>
      <c r="E152" s="18">
        <v>33.5</v>
      </c>
      <c r="F152" s="19">
        <v>1</v>
      </c>
      <c r="G152" s="20">
        <f t="shared" si="2"/>
        <v>33.5</v>
      </c>
    </row>
    <row r="153" spans="1:7" s="6" customFormat="1" ht="24" customHeight="1">
      <c r="A153" s="14" t="s">
        <v>494</v>
      </c>
      <c r="B153" s="15" t="s">
        <v>293</v>
      </c>
      <c r="C153" s="16" t="s">
        <v>294</v>
      </c>
      <c r="D153" s="17" t="s">
        <v>158</v>
      </c>
      <c r="E153" s="18">
        <v>27.29</v>
      </c>
      <c r="F153" s="19">
        <v>1</v>
      </c>
      <c r="G153" s="20">
        <f t="shared" si="2"/>
        <v>27.29</v>
      </c>
    </row>
    <row r="154" spans="1:7" s="6" customFormat="1" ht="24" customHeight="1">
      <c r="A154" s="14" t="s">
        <v>494</v>
      </c>
      <c r="B154" s="15" t="s">
        <v>295</v>
      </c>
      <c r="C154" s="16" t="s">
        <v>296</v>
      </c>
      <c r="D154" s="17" t="s">
        <v>277</v>
      </c>
      <c r="E154" s="18">
        <v>31.2</v>
      </c>
      <c r="F154" s="19">
        <v>1</v>
      </c>
      <c r="G154" s="20">
        <f t="shared" si="2"/>
        <v>31.2</v>
      </c>
    </row>
    <row r="155" spans="1:7" s="6" customFormat="1" ht="24" customHeight="1">
      <c r="A155" s="14" t="s">
        <v>494</v>
      </c>
      <c r="B155" s="15" t="s">
        <v>251</v>
      </c>
      <c r="C155" s="16" t="s">
        <v>252</v>
      </c>
      <c r="D155" s="17" t="s">
        <v>49</v>
      </c>
      <c r="E155" s="18">
        <v>14.69</v>
      </c>
      <c r="F155" s="19">
        <v>1</v>
      </c>
      <c r="G155" s="20">
        <f t="shared" si="2"/>
        <v>14.69</v>
      </c>
    </row>
    <row r="156" spans="1:7" s="6" customFormat="1" ht="24" customHeight="1">
      <c r="A156" s="14" t="s">
        <v>494</v>
      </c>
      <c r="B156" s="15" t="s">
        <v>248</v>
      </c>
      <c r="C156" s="16" t="s">
        <v>249</v>
      </c>
      <c r="D156" s="17" t="s">
        <v>250</v>
      </c>
      <c r="E156" s="18">
        <v>22.63</v>
      </c>
      <c r="F156" s="19">
        <v>1</v>
      </c>
      <c r="G156" s="20">
        <f t="shared" si="2"/>
        <v>22.63</v>
      </c>
    </row>
    <row r="157" spans="1:7" s="6" customFormat="1" ht="24" customHeight="1">
      <c r="A157" s="14" t="s">
        <v>494</v>
      </c>
      <c r="B157" s="15" t="s">
        <v>290</v>
      </c>
      <c r="C157" s="16" t="s">
        <v>291</v>
      </c>
      <c r="D157" s="17" t="s">
        <v>292</v>
      </c>
      <c r="E157" s="18">
        <v>2.66</v>
      </c>
      <c r="F157" s="19">
        <v>1</v>
      </c>
      <c r="G157" s="20">
        <f t="shared" si="2"/>
        <v>2.66</v>
      </c>
    </row>
    <row r="158" spans="1:7" s="6" customFormat="1" ht="24" customHeight="1">
      <c r="A158" s="14" t="s">
        <v>494</v>
      </c>
      <c r="B158" s="15" t="s">
        <v>275</v>
      </c>
      <c r="C158" s="16" t="s">
        <v>276</v>
      </c>
      <c r="D158" s="17" t="s">
        <v>277</v>
      </c>
      <c r="E158" s="18">
        <v>2.8</v>
      </c>
      <c r="F158" s="19">
        <v>1</v>
      </c>
      <c r="G158" s="20">
        <f t="shared" si="2"/>
        <v>2.8</v>
      </c>
    </row>
    <row r="159" spans="1:7" s="6" customFormat="1" ht="24" customHeight="1">
      <c r="A159" s="14" t="s">
        <v>494</v>
      </c>
      <c r="B159" s="15" t="s">
        <v>555</v>
      </c>
      <c r="C159" s="16" t="s">
        <v>206</v>
      </c>
      <c r="D159" s="17" t="s">
        <v>207</v>
      </c>
      <c r="E159" s="18">
        <v>5.3</v>
      </c>
      <c r="F159" s="19">
        <v>1</v>
      </c>
      <c r="G159" s="20">
        <f t="shared" si="2"/>
        <v>5.3</v>
      </c>
    </row>
    <row r="160" spans="1:7" s="6" customFormat="1" ht="24" customHeight="1">
      <c r="A160" s="14" t="s">
        <v>494</v>
      </c>
      <c r="B160" s="15" t="s">
        <v>208</v>
      </c>
      <c r="C160" s="16" t="s">
        <v>209</v>
      </c>
      <c r="D160" s="17" t="s">
        <v>18</v>
      </c>
      <c r="E160" s="18">
        <v>14.31</v>
      </c>
      <c r="F160" s="19">
        <v>1</v>
      </c>
      <c r="G160" s="20">
        <f t="shared" si="2"/>
        <v>14.31</v>
      </c>
    </row>
    <row r="161" spans="1:7" s="6" customFormat="1" ht="24" customHeight="1">
      <c r="A161" s="14" t="s">
        <v>494</v>
      </c>
      <c r="B161" s="15" t="s">
        <v>226</v>
      </c>
      <c r="C161" s="16" t="s">
        <v>227</v>
      </c>
      <c r="D161" s="17" t="s">
        <v>10</v>
      </c>
      <c r="E161" s="18">
        <v>20.61</v>
      </c>
      <c r="F161" s="19">
        <v>1</v>
      </c>
      <c r="G161" s="20">
        <f t="shared" si="2"/>
        <v>20.61</v>
      </c>
    </row>
    <row r="162" spans="1:7" s="6" customFormat="1" ht="24" customHeight="1">
      <c r="A162" s="14" t="s">
        <v>494</v>
      </c>
      <c r="B162" s="15" t="s">
        <v>210</v>
      </c>
      <c r="C162" s="16" t="s">
        <v>532</v>
      </c>
      <c r="D162" s="17" t="s">
        <v>139</v>
      </c>
      <c r="E162" s="18">
        <v>34.409999999999997</v>
      </c>
      <c r="F162" s="19">
        <v>1</v>
      </c>
      <c r="G162" s="20">
        <f t="shared" si="2"/>
        <v>34.409999999999997</v>
      </c>
    </row>
    <row r="163" spans="1:7" s="6" customFormat="1" ht="24" customHeight="1">
      <c r="A163" s="14" t="s">
        <v>494</v>
      </c>
      <c r="B163" s="15" t="s">
        <v>497</v>
      </c>
      <c r="C163" s="16" t="s">
        <v>498</v>
      </c>
      <c r="D163" s="22" t="s">
        <v>21</v>
      </c>
      <c r="E163" s="18">
        <v>27.69</v>
      </c>
      <c r="F163" s="19">
        <v>1</v>
      </c>
      <c r="G163" s="20">
        <f t="shared" si="2"/>
        <v>27.69</v>
      </c>
    </row>
    <row r="164" spans="1:7" s="6" customFormat="1" ht="24" customHeight="1">
      <c r="A164" s="14" t="s">
        <v>494</v>
      </c>
      <c r="B164" s="15" t="s">
        <v>499</v>
      </c>
      <c r="C164" s="16" t="s">
        <v>533</v>
      </c>
      <c r="D164" s="22" t="s">
        <v>56</v>
      </c>
      <c r="E164" s="18">
        <v>19.53</v>
      </c>
      <c r="F164" s="19">
        <v>1</v>
      </c>
      <c r="G164" s="20">
        <f t="shared" si="2"/>
        <v>19.53</v>
      </c>
    </row>
    <row r="165" spans="1:7" s="6" customFormat="1" ht="24" customHeight="1">
      <c r="A165" s="14" t="s">
        <v>494</v>
      </c>
      <c r="B165" s="15" t="s">
        <v>303</v>
      </c>
      <c r="C165" s="16" t="s">
        <v>304</v>
      </c>
      <c r="D165" s="17" t="s">
        <v>24</v>
      </c>
      <c r="E165" s="18">
        <v>12.46</v>
      </c>
      <c r="F165" s="19">
        <v>1</v>
      </c>
      <c r="G165" s="20">
        <f t="shared" si="2"/>
        <v>12.46</v>
      </c>
    </row>
    <row r="166" spans="1:7" s="6" customFormat="1" ht="24" customHeight="1">
      <c r="A166" s="14" t="s">
        <v>494</v>
      </c>
      <c r="B166" s="15" t="s">
        <v>305</v>
      </c>
      <c r="C166" s="16" t="s">
        <v>306</v>
      </c>
      <c r="D166" s="17" t="s">
        <v>139</v>
      </c>
      <c r="E166" s="18">
        <f>125.89/5</f>
        <v>25.178000000000001</v>
      </c>
      <c r="F166" s="19">
        <v>1</v>
      </c>
      <c r="G166" s="20">
        <f t="shared" si="2"/>
        <v>25.178000000000001</v>
      </c>
    </row>
    <row r="167" spans="1:7" s="6" customFormat="1" ht="24" customHeight="1">
      <c r="A167" s="14" t="s">
        <v>494</v>
      </c>
      <c r="B167" s="15" t="s">
        <v>301</v>
      </c>
      <c r="C167" s="16" t="s">
        <v>302</v>
      </c>
      <c r="D167" s="17" t="s">
        <v>264</v>
      </c>
      <c r="E167" s="18">
        <v>3.4666666666666668</v>
      </c>
      <c r="F167" s="19">
        <v>1</v>
      </c>
      <c r="G167" s="20">
        <f t="shared" si="2"/>
        <v>3.4666666666666668</v>
      </c>
    </row>
    <row r="168" spans="1:7" s="6" customFormat="1" ht="24" customHeight="1">
      <c r="A168" s="14" t="s">
        <v>494</v>
      </c>
      <c r="B168" s="15" t="s">
        <v>311</v>
      </c>
      <c r="C168" s="16" t="s">
        <v>312</v>
      </c>
      <c r="D168" s="17" t="s">
        <v>53</v>
      </c>
      <c r="E168" s="18">
        <v>39.57</v>
      </c>
      <c r="F168" s="19">
        <v>1</v>
      </c>
      <c r="G168" s="20">
        <f t="shared" si="2"/>
        <v>39.57</v>
      </c>
    </row>
    <row r="169" spans="1:7" s="6" customFormat="1" ht="24" customHeight="1">
      <c r="A169" s="14" t="s">
        <v>494</v>
      </c>
      <c r="B169" s="15" t="s">
        <v>313</v>
      </c>
      <c r="C169" s="16" t="s">
        <v>314</v>
      </c>
      <c r="D169" s="17" t="s">
        <v>29</v>
      </c>
      <c r="E169" s="18">
        <v>4.59</v>
      </c>
      <c r="F169" s="19">
        <v>1</v>
      </c>
      <c r="G169" s="20">
        <f t="shared" si="2"/>
        <v>4.59</v>
      </c>
    </row>
    <row r="170" spans="1:7" s="6" customFormat="1" ht="24" customHeight="1">
      <c r="A170" s="14" t="s">
        <v>494</v>
      </c>
      <c r="B170" s="15" t="s">
        <v>184</v>
      </c>
      <c r="C170" s="16" t="s">
        <v>185</v>
      </c>
      <c r="D170" s="17" t="s">
        <v>92</v>
      </c>
      <c r="E170" s="18">
        <v>42.43333333333333</v>
      </c>
      <c r="F170" s="19">
        <v>1</v>
      </c>
      <c r="G170" s="20">
        <f t="shared" si="2"/>
        <v>42.43333333333333</v>
      </c>
    </row>
    <row r="171" spans="1:7" s="6" customFormat="1" ht="24" customHeight="1">
      <c r="A171" s="14" t="s">
        <v>494</v>
      </c>
      <c r="B171" s="15" t="s">
        <v>200</v>
      </c>
      <c r="C171" s="16" t="s">
        <v>201</v>
      </c>
      <c r="D171" s="17" t="s">
        <v>155</v>
      </c>
      <c r="E171" s="18">
        <v>561.5</v>
      </c>
      <c r="F171" s="19">
        <v>1</v>
      </c>
      <c r="G171" s="20">
        <f t="shared" si="2"/>
        <v>561.5</v>
      </c>
    </row>
    <row r="172" spans="1:7" s="6" customFormat="1" ht="24" customHeight="1">
      <c r="A172" s="14" t="s">
        <v>494</v>
      </c>
      <c r="B172" s="15" t="s">
        <v>500</v>
      </c>
      <c r="C172" s="16" t="s">
        <v>534</v>
      </c>
      <c r="D172" s="22" t="s">
        <v>86</v>
      </c>
      <c r="E172" s="18">
        <v>107.63</v>
      </c>
      <c r="F172" s="19">
        <v>1</v>
      </c>
      <c r="G172" s="20">
        <f t="shared" si="2"/>
        <v>107.63</v>
      </c>
    </row>
    <row r="173" spans="1:7" s="6" customFormat="1" ht="24" customHeight="1">
      <c r="A173" s="14" t="s">
        <v>494</v>
      </c>
      <c r="B173" s="15" t="s">
        <v>317</v>
      </c>
      <c r="C173" s="16" t="s">
        <v>318</v>
      </c>
      <c r="D173" s="17" t="s">
        <v>46</v>
      </c>
      <c r="E173" s="18">
        <v>23.39</v>
      </c>
      <c r="F173" s="19">
        <v>1</v>
      </c>
      <c r="G173" s="20">
        <f t="shared" si="2"/>
        <v>23.39</v>
      </c>
    </row>
    <row r="174" spans="1:7" s="6" customFormat="1" ht="24" customHeight="1">
      <c r="A174" s="14" t="s">
        <v>494</v>
      </c>
      <c r="B174" s="15" t="s">
        <v>321</v>
      </c>
      <c r="C174" s="16" t="s">
        <v>322</v>
      </c>
      <c r="D174" s="17" t="s">
        <v>86</v>
      </c>
      <c r="E174" s="18">
        <v>25.7</v>
      </c>
      <c r="F174" s="19">
        <v>1</v>
      </c>
      <c r="G174" s="20">
        <f t="shared" si="2"/>
        <v>25.7</v>
      </c>
    </row>
    <row r="175" spans="1:7" s="6" customFormat="1" ht="24" customHeight="1">
      <c r="A175" s="14" t="s">
        <v>494</v>
      </c>
      <c r="B175" s="15" t="s">
        <v>319</v>
      </c>
      <c r="C175" s="16" t="s">
        <v>320</v>
      </c>
      <c r="D175" s="17" t="s">
        <v>49</v>
      </c>
      <c r="E175" s="18">
        <v>42.55</v>
      </c>
      <c r="F175" s="19">
        <v>1</v>
      </c>
      <c r="G175" s="20">
        <f t="shared" si="2"/>
        <v>42.55</v>
      </c>
    </row>
    <row r="176" spans="1:7" s="6" customFormat="1" ht="24" customHeight="1">
      <c r="A176" s="14" t="s">
        <v>494</v>
      </c>
      <c r="B176" s="15" t="s">
        <v>327</v>
      </c>
      <c r="C176" s="16" t="s">
        <v>328</v>
      </c>
      <c r="D176" s="17" t="s">
        <v>71</v>
      </c>
      <c r="E176" s="18">
        <v>2.1</v>
      </c>
      <c r="F176" s="19">
        <v>1</v>
      </c>
      <c r="G176" s="20">
        <f t="shared" si="2"/>
        <v>2.1</v>
      </c>
    </row>
    <row r="177" spans="1:7" s="6" customFormat="1" ht="24" customHeight="1">
      <c r="A177" s="14" t="s">
        <v>494</v>
      </c>
      <c r="B177" s="15" t="s">
        <v>325</v>
      </c>
      <c r="C177" s="16" t="s">
        <v>326</v>
      </c>
      <c r="D177" s="17" t="s">
        <v>29</v>
      </c>
      <c r="E177" s="18">
        <v>3.65</v>
      </c>
      <c r="F177" s="19">
        <v>1</v>
      </c>
      <c r="G177" s="20">
        <f t="shared" si="2"/>
        <v>3.65</v>
      </c>
    </row>
    <row r="178" spans="1:7" s="6" customFormat="1" ht="24" customHeight="1">
      <c r="A178" s="14" t="s">
        <v>494</v>
      </c>
      <c r="B178" s="15" t="s">
        <v>224</v>
      </c>
      <c r="C178" s="16" t="s">
        <v>225</v>
      </c>
      <c r="D178" s="17" t="s">
        <v>71</v>
      </c>
      <c r="E178" s="18">
        <v>7.1059999999999999</v>
      </c>
      <c r="F178" s="19">
        <v>1</v>
      </c>
      <c r="G178" s="20">
        <f t="shared" si="2"/>
        <v>7.1059999999999999</v>
      </c>
    </row>
    <row r="179" spans="1:7" s="6" customFormat="1" ht="24" customHeight="1">
      <c r="A179" s="14" t="s">
        <v>494</v>
      </c>
      <c r="B179" s="15" t="s">
        <v>364</v>
      </c>
      <c r="C179" s="16" t="s">
        <v>365</v>
      </c>
      <c r="D179" s="17" t="s">
        <v>77</v>
      </c>
      <c r="E179" s="18">
        <v>5.25</v>
      </c>
      <c r="F179" s="19">
        <v>1</v>
      </c>
      <c r="G179" s="20">
        <f t="shared" si="2"/>
        <v>5.25</v>
      </c>
    </row>
    <row r="180" spans="1:7" s="6" customFormat="1" ht="24" customHeight="1">
      <c r="A180" s="14" t="s">
        <v>494</v>
      </c>
      <c r="B180" s="15" t="s">
        <v>333</v>
      </c>
      <c r="C180" s="16" t="s">
        <v>334</v>
      </c>
      <c r="D180" s="17" t="s">
        <v>35</v>
      </c>
      <c r="E180" s="18">
        <v>14.53</v>
      </c>
      <c r="F180" s="19">
        <v>1</v>
      </c>
      <c r="G180" s="20">
        <f t="shared" si="2"/>
        <v>14.53</v>
      </c>
    </row>
    <row r="181" spans="1:7" s="6" customFormat="1" ht="24" customHeight="1">
      <c r="A181" s="14" t="s">
        <v>494</v>
      </c>
      <c r="B181" s="15" t="s">
        <v>244</v>
      </c>
      <c r="C181" s="16" t="s">
        <v>245</v>
      </c>
      <c r="D181" s="17" t="s">
        <v>10</v>
      </c>
      <c r="E181" s="18">
        <v>11.06</v>
      </c>
      <c r="F181" s="19">
        <v>1</v>
      </c>
      <c r="G181" s="20">
        <f t="shared" si="2"/>
        <v>11.06</v>
      </c>
    </row>
    <row r="182" spans="1:7" s="6" customFormat="1" ht="24" customHeight="1">
      <c r="A182" s="14" t="s">
        <v>494</v>
      </c>
      <c r="B182" s="15" t="s">
        <v>246</v>
      </c>
      <c r="C182" s="16" t="s">
        <v>247</v>
      </c>
      <c r="D182" s="17" t="s">
        <v>10</v>
      </c>
      <c r="E182" s="18">
        <v>13.59</v>
      </c>
      <c r="F182" s="19">
        <v>1</v>
      </c>
      <c r="G182" s="20">
        <f t="shared" si="2"/>
        <v>13.59</v>
      </c>
    </row>
    <row r="183" spans="1:7" s="6" customFormat="1" ht="24" customHeight="1">
      <c r="A183" s="14" t="s">
        <v>494</v>
      </c>
      <c r="B183" s="15" t="s">
        <v>323</v>
      </c>
      <c r="C183" s="16" t="s">
        <v>324</v>
      </c>
      <c r="D183" s="17" t="s">
        <v>24</v>
      </c>
      <c r="E183" s="18">
        <v>15.46</v>
      </c>
      <c r="F183" s="19">
        <v>1</v>
      </c>
      <c r="G183" s="20">
        <f t="shared" si="2"/>
        <v>15.46</v>
      </c>
    </row>
    <row r="184" spans="1:7" s="6" customFormat="1" ht="24" customHeight="1">
      <c r="A184" s="14" t="s">
        <v>494</v>
      </c>
      <c r="B184" s="15" t="s">
        <v>220</v>
      </c>
      <c r="C184" s="16" t="s">
        <v>221</v>
      </c>
      <c r="D184" s="17" t="s">
        <v>35</v>
      </c>
      <c r="E184" s="18">
        <v>6.8633333333333333</v>
      </c>
      <c r="F184" s="19">
        <v>1</v>
      </c>
      <c r="G184" s="20">
        <f t="shared" si="2"/>
        <v>6.8633333333333333</v>
      </c>
    </row>
    <row r="185" spans="1:7" s="6" customFormat="1" ht="24" customHeight="1">
      <c r="A185" s="14" t="s">
        <v>494</v>
      </c>
      <c r="B185" s="15" t="s">
        <v>502</v>
      </c>
      <c r="C185" s="16" t="s">
        <v>503</v>
      </c>
      <c r="D185" s="22" t="s">
        <v>77</v>
      </c>
      <c r="E185" s="18">
        <f>14.18/15</f>
        <v>0.94533333333333336</v>
      </c>
      <c r="F185" s="19">
        <v>1</v>
      </c>
      <c r="G185" s="20">
        <f t="shared" si="2"/>
        <v>0.94533333333333336</v>
      </c>
    </row>
    <row r="186" spans="1:7" s="6" customFormat="1" ht="24" customHeight="1">
      <c r="A186" s="14" t="s">
        <v>494</v>
      </c>
      <c r="B186" s="15" t="s">
        <v>501</v>
      </c>
      <c r="C186" s="16" t="s">
        <v>535</v>
      </c>
      <c r="D186" s="22" t="s">
        <v>283</v>
      </c>
      <c r="E186" s="18">
        <f>32.13/15</f>
        <v>2.1420000000000003</v>
      </c>
      <c r="F186" s="19">
        <v>1</v>
      </c>
      <c r="G186" s="20">
        <f t="shared" si="2"/>
        <v>2.1420000000000003</v>
      </c>
    </row>
    <row r="187" spans="1:7" s="6" customFormat="1" ht="24" customHeight="1">
      <c r="A187" s="14" t="s">
        <v>494</v>
      </c>
      <c r="B187" s="15" t="s">
        <v>329</v>
      </c>
      <c r="C187" s="16" t="s">
        <v>330</v>
      </c>
      <c r="D187" s="17" t="s">
        <v>40</v>
      </c>
      <c r="E187" s="18">
        <v>3.65</v>
      </c>
      <c r="F187" s="19">
        <v>1</v>
      </c>
      <c r="G187" s="20">
        <f t="shared" si="2"/>
        <v>3.65</v>
      </c>
    </row>
    <row r="188" spans="1:7" s="6" customFormat="1" ht="24" customHeight="1">
      <c r="A188" s="14" t="s">
        <v>494</v>
      </c>
      <c r="B188" s="15" t="s">
        <v>509</v>
      </c>
      <c r="C188" s="16" t="s">
        <v>507</v>
      </c>
      <c r="D188" s="22" t="s">
        <v>40</v>
      </c>
      <c r="E188" s="18">
        <v>25.2</v>
      </c>
      <c r="F188" s="19">
        <v>1</v>
      </c>
      <c r="G188" s="20">
        <f t="shared" si="2"/>
        <v>25.2</v>
      </c>
    </row>
    <row r="189" spans="1:7" s="6" customFormat="1" ht="24" customHeight="1">
      <c r="A189" s="14" t="s">
        <v>494</v>
      </c>
      <c r="B189" s="15" t="s">
        <v>269</v>
      </c>
      <c r="C189" s="16" t="s">
        <v>270</v>
      </c>
      <c r="D189" s="17" t="s">
        <v>188</v>
      </c>
      <c r="E189" s="18">
        <v>1.01</v>
      </c>
      <c r="F189" s="19">
        <v>1</v>
      </c>
      <c r="G189" s="20">
        <f t="shared" si="2"/>
        <v>1.01</v>
      </c>
    </row>
    <row r="190" spans="1:7" s="6" customFormat="1" ht="24" customHeight="1">
      <c r="A190" s="14" t="s">
        <v>494</v>
      </c>
      <c r="B190" s="15" t="s">
        <v>271</v>
      </c>
      <c r="C190" s="16" t="s">
        <v>272</v>
      </c>
      <c r="D190" s="17" t="s">
        <v>24</v>
      </c>
      <c r="E190" s="18">
        <v>7.06</v>
      </c>
      <c r="F190" s="19">
        <v>1</v>
      </c>
      <c r="G190" s="20">
        <f t="shared" si="2"/>
        <v>7.06</v>
      </c>
    </row>
    <row r="191" spans="1:7" s="6" customFormat="1" ht="24" customHeight="1">
      <c r="A191" s="14" t="s">
        <v>494</v>
      </c>
      <c r="B191" s="15" t="s">
        <v>331</v>
      </c>
      <c r="C191" s="16" t="s">
        <v>332</v>
      </c>
      <c r="D191" s="17" t="s">
        <v>10</v>
      </c>
      <c r="E191" s="18">
        <v>6.73</v>
      </c>
      <c r="F191" s="19">
        <v>1</v>
      </c>
      <c r="G191" s="20">
        <f t="shared" si="2"/>
        <v>6.73</v>
      </c>
    </row>
    <row r="192" spans="1:7" s="6" customFormat="1" ht="24" customHeight="1">
      <c r="A192" s="14" t="s">
        <v>494</v>
      </c>
      <c r="B192" s="15" t="s">
        <v>222</v>
      </c>
      <c r="C192" s="16" t="s">
        <v>223</v>
      </c>
      <c r="D192" s="17" t="s">
        <v>21</v>
      </c>
      <c r="E192" s="18">
        <v>0.81</v>
      </c>
      <c r="F192" s="19">
        <v>1</v>
      </c>
      <c r="G192" s="20">
        <f t="shared" si="2"/>
        <v>0.81</v>
      </c>
    </row>
    <row r="193" spans="1:7" s="6" customFormat="1" ht="24" customHeight="1">
      <c r="A193" s="14" t="s">
        <v>494</v>
      </c>
      <c r="B193" s="15" t="s">
        <v>215</v>
      </c>
      <c r="C193" s="16" t="s">
        <v>216</v>
      </c>
      <c r="D193" s="17" t="s">
        <v>86</v>
      </c>
      <c r="E193" s="18">
        <v>0.37</v>
      </c>
      <c r="F193" s="19">
        <v>1</v>
      </c>
      <c r="G193" s="20">
        <f t="shared" si="2"/>
        <v>0.37</v>
      </c>
    </row>
    <row r="194" spans="1:7" s="6" customFormat="1" ht="24" customHeight="1">
      <c r="A194" s="14" t="s">
        <v>494</v>
      </c>
      <c r="B194" s="15" t="s">
        <v>339</v>
      </c>
      <c r="C194" s="16" t="s">
        <v>340</v>
      </c>
      <c r="D194" s="17" t="s">
        <v>35</v>
      </c>
      <c r="E194" s="18">
        <v>168.8</v>
      </c>
      <c r="F194" s="19">
        <v>1</v>
      </c>
      <c r="G194" s="20">
        <f t="shared" si="2"/>
        <v>168.8</v>
      </c>
    </row>
    <row r="195" spans="1:7" s="6" customFormat="1" ht="24" customHeight="1">
      <c r="A195" s="14" t="s">
        <v>494</v>
      </c>
      <c r="B195" s="15" t="s">
        <v>335</v>
      </c>
      <c r="C195" s="16" t="s">
        <v>336</v>
      </c>
      <c r="D195" s="17" t="s">
        <v>24</v>
      </c>
      <c r="E195" s="18">
        <v>184.6</v>
      </c>
      <c r="F195" s="19">
        <v>1</v>
      </c>
      <c r="G195" s="20">
        <f t="shared" si="2"/>
        <v>184.6</v>
      </c>
    </row>
    <row r="196" spans="1:7" s="6" customFormat="1" ht="24" customHeight="1">
      <c r="A196" s="14" t="s">
        <v>494</v>
      </c>
      <c r="B196" s="15" t="s">
        <v>337</v>
      </c>
      <c r="C196" s="16" t="s">
        <v>338</v>
      </c>
      <c r="D196" s="17" t="s">
        <v>74</v>
      </c>
      <c r="E196" s="18">
        <v>114.03</v>
      </c>
      <c r="F196" s="19">
        <v>1</v>
      </c>
      <c r="G196" s="20">
        <f t="shared" si="2"/>
        <v>114.03</v>
      </c>
    </row>
    <row r="197" spans="1:7" s="6" customFormat="1" ht="24" customHeight="1">
      <c r="A197" s="14" t="s">
        <v>494</v>
      </c>
      <c r="B197" s="15" t="s">
        <v>180</v>
      </c>
      <c r="C197" s="16" t="s">
        <v>181</v>
      </c>
      <c r="D197" s="17" t="s">
        <v>49</v>
      </c>
      <c r="E197" s="18">
        <v>65.7</v>
      </c>
      <c r="F197" s="19">
        <v>1</v>
      </c>
      <c r="G197" s="20">
        <f t="shared" si="2"/>
        <v>65.7</v>
      </c>
    </row>
    <row r="198" spans="1:7" s="6" customFormat="1" ht="24" customHeight="1">
      <c r="A198" s="14" t="s">
        <v>494</v>
      </c>
      <c r="B198" s="15" t="s">
        <v>495</v>
      </c>
      <c r="C198" s="16" t="s">
        <v>496</v>
      </c>
      <c r="D198" s="22" t="s">
        <v>43</v>
      </c>
      <c r="E198" s="18">
        <v>117</v>
      </c>
      <c r="F198" s="19">
        <v>1</v>
      </c>
      <c r="G198" s="20">
        <f t="shared" si="2"/>
        <v>117</v>
      </c>
    </row>
    <row r="199" spans="1:7" s="6" customFormat="1" ht="24" customHeight="1">
      <c r="A199" s="14" t="s">
        <v>494</v>
      </c>
      <c r="B199" s="15" t="s">
        <v>341</v>
      </c>
      <c r="C199" s="16" t="s">
        <v>342</v>
      </c>
      <c r="D199" s="17" t="s">
        <v>46</v>
      </c>
      <c r="E199" s="18">
        <v>133.59</v>
      </c>
      <c r="F199" s="19">
        <v>1</v>
      </c>
      <c r="G199" s="20">
        <f t="shared" si="2"/>
        <v>133.59</v>
      </c>
    </row>
    <row r="200" spans="1:7" s="6" customFormat="1" ht="24" customHeight="1">
      <c r="A200" s="14" t="s">
        <v>494</v>
      </c>
      <c r="B200" s="15" t="s">
        <v>553</v>
      </c>
      <c r="C200" s="16" t="s">
        <v>554</v>
      </c>
      <c r="D200" s="17" t="s">
        <v>35</v>
      </c>
      <c r="E200" s="18">
        <v>15.38</v>
      </c>
      <c r="F200" s="19">
        <v>1</v>
      </c>
      <c r="G200" s="20">
        <f t="shared" si="2"/>
        <v>15.38</v>
      </c>
    </row>
    <row r="201" spans="1:7" s="6" customFormat="1" ht="24" customHeight="1">
      <c r="A201" s="14" t="s">
        <v>494</v>
      </c>
      <c r="B201" s="15" t="s">
        <v>189</v>
      </c>
      <c r="C201" s="16" t="s">
        <v>190</v>
      </c>
      <c r="D201" s="17" t="s">
        <v>139</v>
      </c>
      <c r="E201" s="18">
        <v>22.5</v>
      </c>
      <c r="F201" s="19">
        <v>1</v>
      </c>
      <c r="G201" s="20">
        <f t="shared" si="2"/>
        <v>22.5</v>
      </c>
    </row>
    <row r="202" spans="1:7" s="6" customFormat="1" ht="24" customHeight="1">
      <c r="A202" s="14" t="s">
        <v>494</v>
      </c>
      <c r="B202" s="15" t="s">
        <v>343</v>
      </c>
      <c r="C202" s="16" t="s">
        <v>344</v>
      </c>
      <c r="D202" s="17" t="s">
        <v>21</v>
      </c>
      <c r="E202" s="18">
        <v>17.96</v>
      </c>
      <c r="F202" s="19">
        <v>1</v>
      </c>
      <c r="G202" s="20">
        <f t="shared" ref="G202:G265" si="3">F202*E202</f>
        <v>17.96</v>
      </c>
    </row>
    <row r="203" spans="1:7" s="6" customFormat="1" ht="24" customHeight="1">
      <c r="A203" s="14" t="s">
        <v>494</v>
      </c>
      <c r="B203" s="15" t="s">
        <v>315</v>
      </c>
      <c r="C203" s="16" t="s">
        <v>316</v>
      </c>
      <c r="D203" s="17" t="s">
        <v>14</v>
      </c>
      <c r="E203" s="18">
        <v>2.94</v>
      </c>
      <c r="F203" s="19">
        <v>1</v>
      </c>
      <c r="G203" s="20">
        <f t="shared" si="3"/>
        <v>2.94</v>
      </c>
    </row>
    <row r="204" spans="1:7" s="6" customFormat="1" ht="24" customHeight="1">
      <c r="A204" s="14" t="s">
        <v>494</v>
      </c>
      <c r="B204" s="15" t="s">
        <v>551</v>
      </c>
      <c r="C204" s="16" t="s">
        <v>552</v>
      </c>
      <c r="D204" s="17" t="s">
        <v>46</v>
      </c>
      <c r="E204" s="18">
        <v>56.59</v>
      </c>
      <c r="F204" s="19">
        <v>1</v>
      </c>
      <c r="G204" s="20">
        <f t="shared" si="3"/>
        <v>56.59</v>
      </c>
    </row>
    <row r="205" spans="1:7" s="6" customFormat="1" ht="24" customHeight="1">
      <c r="A205" s="14" t="s">
        <v>494</v>
      </c>
      <c r="B205" s="15" t="s">
        <v>347</v>
      </c>
      <c r="C205" s="16" t="s">
        <v>348</v>
      </c>
      <c r="D205" s="17" t="s">
        <v>77</v>
      </c>
      <c r="E205" s="18">
        <v>34.369999999999997</v>
      </c>
      <c r="F205" s="19">
        <v>1</v>
      </c>
      <c r="G205" s="20">
        <f t="shared" si="3"/>
        <v>34.369999999999997</v>
      </c>
    </row>
    <row r="206" spans="1:7" s="6" customFormat="1" ht="24" customHeight="1">
      <c r="A206" s="14" t="s">
        <v>494</v>
      </c>
      <c r="B206" s="15" t="s">
        <v>253</v>
      </c>
      <c r="C206" s="16" t="s">
        <v>254</v>
      </c>
      <c r="D206" s="17" t="s">
        <v>92</v>
      </c>
      <c r="E206" s="18">
        <v>10.64</v>
      </c>
      <c r="F206" s="19">
        <v>1</v>
      </c>
      <c r="G206" s="20">
        <f t="shared" si="3"/>
        <v>10.64</v>
      </c>
    </row>
    <row r="207" spans="1:7" s="6" customFormat="1" ht="24" customHeight="1">
      <c r="A207" s="14" t="s">
        <v>494</v>
      </c>
      <c r="B207" s="15" t="s">
        <v>255</v>
      </c>
      <c r="C207" s="16" t="s">
        <v>256</v>
      </c>
      <c r="D207" s="17" t="s">
        <v>43</v>
      </c>
      <c r="E207" s="18">
        <v>16.606666666666666</v>
      </c>
      <c r="F207" s="19">
        <v>1</v>
      </c>
      <c r="G207" s="20">
        <f t="shared" si="3"/>
        <v>16.606666666666666</v>
      </c>
    </row>
    <row r="208" spans="1:7" s="6" customFormat="1" ht="24" customHeight="1">
      <c r="A208" s="14" t="s">
        <v>494</v>
      </c>
      <c r="B208" s="15" t="s">
        <v>511</v>
      </c>
      <c r="C208" s="16" t="s">
        <v>536</v>
      </c>
      <c r="D208" s="22" t="s">
        <v>40</v>
      </c>
      <c r="E208" s="18">
        <v>13.55</v>
      </c>
      <c r="F208" s="19">
        <v>1</v>
      </c>
      <c r="G208" s="20">
        <f t="shared" si="3"/>
        <v>13.55</v>
      </c>
    </row>
    <row r="209" spans="1:7" s="6" customFormat="1" ht="24" customHeight="1">
      <c r="A209" s="14" t="s">
        <v>494</v>
      </c>
      <c r="B209" s="15" t="s">
        <v>549</v>
      </c>
      <c r="C209" s="16" t="s">
        <v>550</v>
      </c>
      <c r="D209" s="22" t="s">
        <v>24</v>
      </c>
      <c r="E209" s="18">
        <v>9.3000000000000007</v>
      </c>
      <c r="F209" s="19">
        <v>1</v>
      </c>
      <c r="G209" s="20">
        <f t="shared" si="3"/>
        <v>9.3000000000000007</v>
      </c>
    </row>
    <row r="210" spans="1:7" s="6" customFormat="1" ht="24" customHeight="1">
      <c r="A210" s="14" t="s">
        <v>494</v>
      </c>
      <c r="B210" s="15" t="s">
        <v>238</v>
      </c>
      <c r="C210" s="16" t="s">
        <v>239</v>
      </c>
      <c r="D210" s="17" t="s">
        <v>188</v>
      </c>
      <c r="E210" s="18">
        <f>101.91/15</f>
        <v>6.7939999999999996</v>
      </c>
      <c r="F210" s="19">
        <v>1</v>
      </c>
      <c r="G210" s="20">
        <f t="shared" si="3"/>
        <v>6.7939999999999996</v>
      </c>
    </row>
    <row r="211" spans="1:7" s="6" customFormat="1" ht="24" customHeight="1">
      <c r="A211" s="14" t="s">
        <v>494</v>
      </c>
      <c r="B211" s="15" t="s">
        <v>349</v>
      </c>
      <c r="C211" s="16" t="s">
        <v>350</v>
      </c>
      <c r="D211" s="17" t="s">
        <v>277</v>
      </c>
      <c r="E211" s="18">
        <v>27.46</v>
      </c>
      <c r="F211" s="19">
        <v>1</v>
      </c>
      <c r="G211" s="20">
        <f t="shared" si="3"/>
        <v>27.46</v>
      </c>
    </row>
    <row r="212" spans="1:7" s="6" customFormat="1" ht="24" customHeight="1">
      <c r="A212" s="14" t="s">
        <v>494</v>
      </c>
      <c r="B212" s="15" t="s">
        <v>204</v>
      </c>
      <c r="C212" s="16" t="s">
        <v>205</v>
      </c>
      <c r="D212" s="17" t="s">
        <v>14</v>
      </c>
      <c r="E212" s="18">
        <v>145.69999999999999</v>
      </c>
      <c r="F212" s="19">
        <v>1</v>
      </c>
      <c r="G212" s="20">
        <f t="shared" si="3"/>
        <v>145.69999999999999</v>
      </c>
    </row>
    <row r="213" spans="1:7" s="6" customFormat="1" ht="24" customHeight="1">
      <c r="A213" s="14" t="s">
        <v>494</v>
      </c>
      <c r="B213" s="15" t="s">
        <v>257</v>
      </c>
      <c r="C213" s="16" t="s">
        <v>258</v>
      </c>
      <c r="D213" s="17" t="s">
        <v>29</v>
      </c>
      <c r="E213" s="18">
        <v>11.73</v>
      </c>
      <c r="F213" s="19">
        <v>1</v>
      </c>
      <c r="G213" s="20">
        <f t="shared" si="3"/>
        <v>11.73</v>
      </c>
    </row>
    <row r="214" spans="1:7" s="6" customFormat="1" ht="24" customHeight="1">
      <c r="A214" s="14" t="s">
        <v>494</v>
      </c>
      <c r="B214" s="15" t="s">
        <v>351</v>
      </c>
      <c r="C214" s="16" t="s">
        <v>352</v>
      </c>
      <c r="D214" s="17" t="s">
        <v>10</v>
      </c>
      <c r="E214" s="18">
        <v>25.76</v>
      </c>
      <c r="F214" s="19">
        <v>1</v>
      </c>
      <c r="G214" s="20">
        <f t="shared" si="3"/>
        <v>25.76</v>
      </c>
    </row>
    <row r="215" spans="1:7" s="6" customFormat="1" ht="24" customHeight="1">
      <c r="A215" s="14" t="s">
        <v>494</v>
      </c>
      <c r="B215" s="15" t="s">
        <v>395</v>
      </c>
      <c r="C215" s="16" t="s">
        <v>396</v>
      </c>
      <c r="D215" s="17" t="s">
        <v>21</v>
      </c>
      <c r="E215" s="18">
        <v>12.46</v>
      </c>
      <c r="F215" s="19">
        <v>1</v>
      </c>
      <c r="G215" s="20">
        <f t="shared" si="3"/>
        <v>12.46</v>
      </c>
    </row>
    <row r="216" spans="1:7" s="6" customFormat="1" ht="24" customHeight="1">
      <c r="A216" s="14" t="s">
        <v>494</v>
      </c>
      <c r="B216" s="15" t="s">
        <v>353</v>
      </c>
      <c r="C216" s="16" t="s">
        <v>354</v>
      </c>
      <c r="D216" s="17" t="s">
        <v>355</v>
      </c>
      <c r="E216" s="18">
        <v>13.73</v>
      </c>
      <c r="F216" s="19">
        <v>1</v>
      </c>
      <c r="G216" s="20">
        <f t="shared" si="3"/>
        <v>13.73</v>
      </c>
    </row>
    <row r="217" spans="1:7" s="6" customFormat="1" ht="24" customHeight="1">
      <c r="A217" s="14" t="s">
        <v>494</v>
      </c>
      <c r="B217" s="15" t="s">
        <v>397</v>
      </c>
      <c r="C217" s="16" t="s">
        <v>398</v>
      </c>
      <c r="D217" s="17" t="s">
        <v>77</v>
      </c>
      <c r="E217" s="18">
        <v>9.6</v>
      </c>
      <c r="F217" s="19">
        <v>1</v>
      </c>
      <c r="G217" s="20">
        <f t="shared" si="3"/>
        <v>9.6</v>
      </c>
    </row>
    <row r="218" spans="1:7" s="6" customFormat="1" ht="24" customHeight="1">
      <c r="A218" s="14" t="s">
        <v>494</v>
      </c>
      <c r="B218" s="15" t="s">
        <v>297</v>
      </c>
      <c r="C218" s="16" t="s">
        <v>298</v>
      </c>
      <c r="D218" s="17" t="s">
        <v>26</v>
      </c>
      <c r="E218" s="18">
        <v>7.12</v>
      </c>
      <c r="F218" s="19">
        <v>1</v>
      </c>
      <c r="G218" s="20">
        <f t="shared" si="3"/>
        <v>7.12</v>
      </c>
    </row>
    <row r="219" spans="1:7" s="6" customFormat="1" ht="24" customHeight="1">
      <c r="A219" s="14" t="s">
        <v>494</v>
      </c>
      <c r="B219" s="15" t="s">
        <v>230</v>
      </c>
      <c r="C219" s="16" t="s">
        <v>231</v>
      </c>
      <c r="D219" s="17" t="s">
        <v>77</v>
      </c>
      <c r="E219" s="18">
        <v>10.68</v>
      </c>
      <c r="F219" s="19">
        <v>1</v>
      </c>
      <c r="G219" s="20">
        <f t="shared" si="3"/>
        <v>10.68</v>
      </c>
    </row>
    <row r="220" spans="1:7" s="6" customFormat="1" ht="24" customHeight="1">
      <c r="A220" s="14" t="s">
        <v>494</v>
      </c>
      <c r="B220" s="15" t="s">
        <v>356</v>
      </c>
      <c r="C220" s="16" t="s">
        <v>357</v>
      </c>
      <c r="D220" s="17" t="s">
        <v>24</v>
      </c>
      <c r="E220" s="18">
        <v>38.1</v>
      </c>
      <c r="F220" s="19">
        <v>1</v>
      </c>
      <c r="G220" s="20">
        <f t="shared" si="3"/>
        <v>38.1</v>
      </c>
    </row>
    <row r="221" spans="1:7" s="6" customFormat="1" ht="24" customHeight="1">
      <c r="A221" s="14" t="s">
        <v>494</v>
      </c>
      <c r="B221" s="15" t="s">
        <v>41</v>
      </c>
      <c r="C221" s="16" t="s">
        <v>42</v>
      </c>
      <c r="D221" s="17" t="s">
        <v>43</v>
      </c>
      <c r="E221" s="18">
        <v>21.23</v>
      </c>
      <c r="F221" s="19">
        <v>1</v>
      </c>
      <c r="G221" s="20">
        <f t="shared" si="3"/>
        <v>21.23</v>
      </c>
    </row>
    <row r="222" spans="1:7" s="6" customFormat="1" ht="24" customHeight="1">
      <c r="A222" s="14" t="s">
        <v>494</v>
      </c>
      <c r="B222" s="15" t="s">
        <v>358</v>
      </c>
      <c r="C222" s="16" t="s">
        <v>359</v>
      </c>
      <c r="D222" s="17" t="s">
        <v>74</v>
      </c>
      <c r="E222" s="18">
        <v>14.26</v>
      </c>
      <c r="F222" s="19">
        <v>1</v>
      </c>
      <c r="G222" s="20">
        <f t="shared" si="3"/>
        <v>14.26</v>
      </c>
    </row>
    <row r="223" spans="1:7" s="6" customFormat="1" ht="24" customHeight="1">
      <c r="A223" s="14" t="s">
        <v>494</v>
      </c>
      <c r="B223" s="15" t="s">
        <v>547</v>
      </c>
      <c r="C223" s="16" t="s">
        <v>548</v>
      </c>
      <c r="D223" s="17" t="s">
        <v>56</v>
      </c>
      <c r="E223" s="18">
        <v>11.15</v>
      </c>
      <c r="F223" s="19">
        <v>1</v>
      </c>
      <c r="G223" s="20">
        <f t="shared" si="3"/>
        <v>11.15</v>
      </c>
    </row>
    <row r="224" spans="1:7" s="6" customFormat="1" ht="24" customHeight="1">
      <c r="A224" s="14" t="s">
        <v>494</v>
      </c>
      <c r="B224" s="15" t="s">
        <v>236</v>
      </c>
      <c r="C224" s="16" t="s">
        <v>237</v>
      </c>
      <c r="D224" s="17" t="s">
        <v>35</v>
      </c>
      <c r="E224" s="18">
        <f>89.34/14</f>
        <v>6.3814285714285717</v>
      </c>
      <c r="F224" s="19">
        <v>1</v>
      </c>
      <c r="G224" s="20">
        <f t="shared" si="3"/>
        <v>6.3814285714285717</v>
      </c>
    </row>
    <row r="225" spans="1:7" s="6" customFormat="1" ht="24" customHeight="1">
      <c r="A225" s="14" t="s">
        <v>494</v>
      </c>
      <c r="B225" s="15" t="s">
        <v>232</v>
      </c>
      <c r="C225" s="16" t="s">
        <v>233</v>
      </c>
      <c r="D225" s="17" t="s">
        <v>14</v>
      </c>
      <c r="E225" s="18">
        <v>6.23</v>
      </c>
      <c r="F225" s="19">
        <v>1</v>
      </c>
      <c r="G225" s="20">
        <f t="shared" si="3"/>
        <v>6.23</v>
      </c>
    </row>
    <row r="226" spans="1:7" s="6" customFormat="1" ht="24" customHeight="1">
      <c r="A226" s="14" t="s">
        <v>494</v>
      </c>
      <c r="B226" s="15" t="s">
        <v>537</v>
      </c>
      <c r="C226" s="16" t="s">
        <v>538</v>
      </c>
      <c r="D226" s="17" t="s">
        <v>71</v>
      </c>
      <c r="E226" s="18">
        <f>41/20</f>
        <v>2.0499999999999998</v>
      </c>
      <c r="F226" s="19">
        <v>1</v>
      </c>
      <c r="G226" s="20">
        <f t="shared" si="3"/>
        <v>2.0499999999999998</v>
      </c>
    </row>
    <row r="227" spans="1:7" s="6" customFormat="1" ht="24" customHeight="1">
      <c r="A227" s="14" t="s">
        <v>494</v>
      </c>
      <c r="B227" s="15" t="s">
        <v>360</v>
      </c>
      <c r="C227" s="16" t="s">
        <v>361</v>
      </c>
      <c r="D227" s="17" t="s">
        <v>32</v>
      </c>
      <c r="E227" s="18">
        <v>0.83</v>
      </c>
      <c r="F227" s="19">
        <v>1</v>
      </c>
      <c r="G227" s="20">
        <f t="shared" si="3"/>
        <v>0.83</v>
      </c>
    </row>
    <row r="228" spans="1:7" s="6" customFormat="1" ht="24" customHeight="1">
      <c r="A228" s="14" t="s">
        <v>494</v>
      </c>
      <c r="B228" s="15" t="s">
        <v>362</v>
      </c>
      <c r="C228" s="16" t="s">
        <v>363</v>
      </c>
      <c r="D228" s="17" t="s">
        <v>139</v>
      </c>
      <c r="E228" s="18">
        <v>1.84</v>
      </c>
      <c r="F228" s="19">
        <v>1</v>
      </c>
      <c r="G228" s="20">
        <f t="shared" si="3"/>
        <v>1.84</v>
      </c>
    </row>
    <row r="229" spans="1:7" s="6" customFormat="1" ht="24" customHeight="1">
      <c r="A229" s="14" t="s">
        <v>494</v>
      </c>
      <c r="B229" s="15" t="s">
        <v>284</v>
      </c>
      <c r="C229" s="16" t="s">
        <v>285</v>
      </c>
      <c r="D229" s="17" t="s">
        <v>74</v>
      </c>
      <c r="E229" s="18">
        <v>8.51</v>
      </c>
      <c r="F229" s="19">
        <v>1</v>
      </c>
      <c r="G229" s="20">
        <f t="shared" si="3"/>
        <v>8.51</v>
      </c>
    </row>
    <row r="230" spans="1:7" s="6" customFormat="1" ht="24" customHeight="1">
      <c r="A230" s="14" t="s">
        <v>494</v>
      </c>
      <c r="B230" s="15" t="s">
        <v>545</v>
      </c>
      <c r="C230" s="16" t="s">
        <v>546</v>
      </c>
      <c r="D230" s="17" t="s">
        <v>43</v>
      </c>
      <c r="E230" s="18">
        <v>93.17</v>
      </c>
      <c r="F230" s="19">
        <v>1</v>
      </c>
      <c r="G230" s="20">
        <f t="shared" si="3"/>
        <v>93.17</v>
      </c>
    </row>
    <row r="231" spans="1:7" s="6" customFormat="1" ht="24" customHeight="1">
      <c r="A231" s="14" t="s">
        <v>494</v>
      </c>
      <c r="B231" s="15" t="s">
        <v>307</v>
      </c>
      <c r="C231" s="16" t="s">
        <v>308</v>
      </c>
      <c r="D231" s="17" t="s">
        <v>155</v>
      </c>
      <c r="E231" s="18">
        <v>5.14</v>
      </c>
      <c r="F231" s="19">
        <v>1</v>
      </c>
      <c r="G231" s="20">
        <f t="shared" si="3"/>
        <v>5.14</v>
      </c>
    </row>
    <row r="232" spans="1:7" s="6" customFormat="1" ht="24" customHeight="1">
      <c r="A232" s="14" t="s">
        <v>494</v>
      </c>
      <c r="B232" s="15" t="s">
        <v>345</v>
      </c>
      <c r="C232" s="16" t="s">
        <v>346</v>
      </c>
      <c r="D232" s="17" t="s">
        <v>86</v>
      </c>
      <c r="E232" s="18">
        <f>569.4/30</f>
        <v>18.98</v>
      </c>
      <c r="F232" s="19">
        <v>1</v>
      </c>
      <c r="G232" s="20">
        <f t="shared" si="3"/>
        <v>18.98</v>
      </c>
    </row>
    <row r="233" spans="1:7" s="6" customFormat="1" ht="24" customHeight="1">
      <c r="A233" s="14" t="s">
        <v>494</v>
      </c>
      <c r="B233" s="15" t="s">
        <v>38</v>
      </c>
      <c r="C233" s="16" t="s">
        <v>39</v>
      </c>
      <c r="D233" s="17" t="s">
        <v>40</v>
      </c>
      <c r="E233" s="18">
        <v>25.2</v>
      </c>
      <c r="F233" s="19">
        <v>1</v>
      </c>
      <c r="G233" s="20">
        <f t="shared" si="3"/>
        <v>25.2</v>
      </c>
    </row>
    <row r="234" spans="1:7" s="6" customFormat="1" ht="24" customHeight="1">
      <c r="A234" s="14" t="s">
        <v>494</v>
      </c>
      <c r="B234" s="15" t="s">
        <v>370</v>
      </c>
      <c r="C234" s="16" t="s">
        <v>371</v>
      </c>
      <c r="D234" s="17" t="s">
        <v>71</v>
      </c>
      <c r="E234" s="18">
        <v>14.69</v>
      </c>
      <c r="F234" s="19">
        <v>1</v>
      </c>
      <c r="G234" s="20">
        <f t="shared" si="3"/>
        <v>14.69</v>
      </c>
    </row>
    <row r="235" spans="1:7" s="6" customFormat="1" ht="24" customHeight="1">
      <c r="A235" s="14" t="s">
        <v>494</v>
      </c>
      <c r="B235" s="15" t="s">
        <v>372</v>
      </c>
      <c r="C235" s="16" t="s">
        <v>373</v>
      </c>
      <c r="D235" s="17" t="s">
        <v>92</v>
      </c>
      <c r="E235" s="18">
        <v>36.619999999999997</v>
      </c>
      <c r="F235" s="19">
        <v>1</v>
      </c>
      <c r="G235" s="20">
        <f t="shared" si="3"/>
        <v>36.619999999999997</v>
      </c>
    </row>
    <row r="236" spans="1:7" s="6" customFormat="1" ht="24" customHeight="1">
      <c r="A236" s="14" t="s">
        <v>494</v>
      </c>
      <c r="B236" s="15" t="s">
        <v>196</v>
      </c>
      <c r="C236" s="16" t="s">
        <v>197</v>
      </c>
      <c r="D236" s="17" t="s">
        <v>26</v>
      </c>
      <c r="E236" s="18">
        <v>137.57749999999999</v>
      </c>
      <c r="F236" s="19">
        <v>1</v>
      </c>
      <c r="G236" s="20">
        <f t="shared" si="3"/>
        <v>137.57749999999999</v>
      </c>
    </row>
    <row r="237" spans="1:7" s="6" customFormat="1" ht="24" customHeight="1">
      <c r="A237" s="14" t="s">
        <v>494</v>
      </c>
      <c r="B237" s="15" t="s">
        <v>286</v>
      </c>
      <c r="C237" s="16" t="s">
        <v>287</v>
      </c>
      <c r="D237" s="17" t="s">
        <v>139</v>
      </c>
      <c r="E237" s="18">
        <f>117.19/15</f>
        <v>7.8126666666666669</v>
      </c>
      <c r="F237" s="19">
        <v>1</v>
      </c>
      <c r="G237" s="20">
        <f t="shared" si="3"/>
        <v>7.8126666666666669</v>
      </c>
    </row>
    <row r="238" spans="1:7" s="6" customFormat="1" ht="24" customHeight="1">
      <c r="A238" s="14" t="s">
        <v>494</v>
      </c>
      <c r="B238" s="15" t="s">
        <v>288</v>
      </c>
      <c r="C238" s="16" t="s">
        <v>289</v>
      </c>
      <c r="D238" s="17" t="s">
        <v>32</v>
      </c>
      <c r="E238" s="18">
        <v>11.746666666666666</v>
      </c>
      <c r="F238" s="19">
        <v>1</v>
      </c>
      <c r="G238" s="20">
        <f t="shared" si="3"/>
        <v>11.746666666666666</v>
      </c>
    </row>
    <row r="239" spans="1:7" s="6" customFormat="1" ht="24" customHeight="1">
      <c r="A239" s="14" t="s">
        <v>494</v>
      </c>
      <c r="B239" s="15" t="s">
        <v>186</v>
      </c>
      <c r="C239" s="16" t="s">
        <v>187</v>
      </c>
      <c r="D239" s="17" t="s">
        <v>188</v>
      </c>
      <c r="E239" s="18">
        <v>17.266666666666666</v>
      </c>
      <c r="F239" s="19">
        <v>1</v>
      </c>
      <c r="G239" s="20">
        <f t="shared" si="3"/>
        <v>17.266666666666666</v>
      </c>
    </row>
    <row r="240" spans="1:7" s="6" customFormat="1" ht="24" customHeight="1">
      <c r="A240" s="14" t="s">
        <v>494</v>
      </c>
      <c r="B240" s="15" t="s">
        <v>376</v>
      </c>
      <c r="C240" s="16" t="s">
        <v>377</v>
      </c>
      <c r="D240" s="17" t="s">
        <v>43</v>
      </c>
      <c r="E240" s="18">
        <v>26.9</v>
      </c>
      <c r="F240" s="19">
        <v>1</v>
      </c>
      <c r="G240" s="20">
        <f t="shared" si="3"/>
        <v>26.9</v>
      </c>
    </row>
    <row r="241" spans="1:7" s="6" customFormat="1" ht="24" customHeight="1">
      <c r="A241" s="14" t="s">
        <v>494</v>
      </c>
      <c r="B241" s="15" t="s">
        <v>299</v>
      </c>
      <c r="C241" s="16" t="s">
        <v>300</v>
      </c>
      <c r="D241" s="17" t="s">
        <v>24</v>
      </c>
      <c r="E241" s="18">
        <v>591.04</v>
      </c>
      <c r="F241" s="19">
        <v>1</v>
      </c>
      <c r="G241" s="20">
        <f t="shared" si="3"/>
        <v>591.04</v>
      </c>
    </row>
    <row r="242" spans="1:7" s="6" customFormat="1" ht="24" customHeight="1">
      <c r="A242" s="14" t="s">
        <v>494</v>
      </c>
      <c r="B242" s="15" t="s">
        <v>382</v>
      </c>
      <c r="C242" s="16" t="s">
        <v>383</v>
      </c>
      <c r="D242" s="17" t="s">
        <v>139</v>
      </c>
      <c r="E242" s="18">
        <v>1.5843333333333334</v>
      </c>
      <c r="F242" s="19">
        <v>1</v>
      </c>
      <c r="G242" s="20">
        <f t="shared" si="3"/>
        <v>1.5843333333333334</v>
      </c>
    </row>
    <row r="243" spans="1:7" s="6" customFormat="1" ht="24" customHeight="1">
      <c r="A243" s="14" t="s">
        <v>494</v>
      </c>
      <c r="B243" s="15" t="s">
        <v>374</v>
      </c>
      <c r="C243" s="16" t="s">
        <v>375</v>
      </c>
      <c r="D243" s="17" t="s">
        <v>32</v>
      </c>
      <c r="E243" s="18">
        <v>12.75</v>
      </c>
      <c r="F243" s="19">
        <v>1</v>
      </c>
      <c r="G243" s="20">
        <f t="shared" si="3"/>
        <v>12.75</v>
      </c>
    </row>
    <row r="244" spans="1:7" s="6" customFormat="1" ht="24" customHeight="1">
      <c r="A244" s="14" t="s">
        <v>494</v>
      </c>
      <c r="B244" s="15" t="s">
        <v>384</v>
      </c>
      <c r="C244" s="16" t="s">
        <v>539</v>
      </c>
      <c r="D244" s="17" t="s">
        <v>92</v>
      </c>
      <c r="E244" s="18">
        <v>37.46</v>
      </c>
      <c r="F244" s="19">
        <v>1</v>
      </c>
      <c r="G244" s="20">
        <f t="shared" si="3"/>
        <v>37.46</v>
      </c>
    </row>
    <row r="245" spans="1:7" s="6" customFormat="1" ht="24" customHeight="1">
      <c r="A245" s="14" t="s">
        <v>494</v>
      </c>
      <c r="B245" s="15" t="s">
        <v>385</v>
      </c>
      <c r="C245" s="16" t="s">
        <v>386</v>
      </c>
      <c r="D245" s="17" t="s">
        <v>43</v>
      </c>
      <c r="E245" s="18">
        <v>18.760000000000002</v>
      </c>
      <c r="F245" s="19">
        <v>1</v>
      </c>
      <c r="G245" s="20">
        <f t="shared" si="3"/>
        <v>18.760000000000002</v>
      </c>
    </row>
    <row r="246" spans="1:7" s="6" customFormat="1" ht="24" customHeight="1">
      <c r="A246" s="14" t="s">
        <v>494</v>
      </c>
      <c r="B246" s="15" t="s">
        <v>182</v>
      </c>
      <c r="C246" s="16" t="s">
        <v>183</v>
      </c>
      <c r="D246" s="17" t="s">
        <v>14</v>
      </c>
      <c r="E246" s="18">
        <v>23.283333333333335</v>
      </c>
      <c r="F246" s="19">
        <v>1</v>
      </c>
      <c r="G246" s="20">
        <f t="shared" si="3"/>
        <v>23.283333333333335</v>
      </c>
    </row>
    <row r="247" spans="1:7" s="6" customFormat="1" ht="24" customHeight="1">
      <c r="A247" s="14" t="s">
        <v>494</v>
      </c>
      <c r="B247" s="15" t="s">
        <v>380</v>
      </c>
      <c r="C247" s="16" t="s">
        <v>381</v>
      </c>
      <c r="D247" s="17" t="s">
        <v>155</v>
      </c>
      <c r="E247" s="18">
        <v>8.6199999999999992</v>
      </c>
      <c r="F247" s="19">
        <v>1</v>
      </c>
      <c r="G247" s="20">
        <f t="shared" si="3"/>
        <v>8.6199999999999992</v>
      </c>
    </row>
    <row r="248" spans="1:7" s="6" customFormat="1" ht="24" customHeight="1">
      <c r="A248" s="14" t="s">
        <v>494</v>
      </c>
      <c r="B248" s="15" t="s">
        <v>504</v>
      </c>
      <c r="C248" s="16" t="s">
        <v>505</v>
      </c>
      <c r="D248" s="22" t="s">
        <v>18</v>
      </c>
      <c r="E248" s="18">
        <v>15.4</v>
      </c>
      <c r="F248" s="19">
        <v>1</v>
      </c>
      <c r="G248" s="20">
        <f t="shared" si="3"/>
        <v>15.4</v>
      </c>
    </row>
    <row r="249" spans="1:7" s="6" customFormat="1" ht="24" customHeight="1">
      <c r="A249" s="14" t="s">
        <v>494</v>
      </c>
      <c r="B249" s="15" t="s">
        <v>273</v>
      </c>
      <c r="C249" s="16" t="s">
        <v>274</v>
      </c>
      <c r="D249" s="22" t="s">
        <v>139</v>
      </c>
      <c r="E249" s="18">
        <v>25.7</v>
      </c>
      <c r="F249" s="19">
        <v>1</v>
      </c>
      <c r="G249" s="20">
        <f t="shared" si="3"/>
        <v>25.7</v>
      </c>
    </row>
    <row r="250" spans="1:7" s="6" customFormat="1" ht="24" customHeight="1">
      <c r="A250" s="14" t="s">
        <v>494</v>
      </c>
      <c r="B250" s="15" t="s">
        <v>508</v>
      </c>
      <c r="C250" s="16" t="s">
        <v>506</v>
      </c>
      <c r="D250" s="22" t="s">
        <v>43</v>
      </c>
      <c r="E250" s="18">
        <v>21.23</v>
      </c>
      <c r="F250" s="19">
        <v>1</v>
      </c>
      <c r="G250" s="20">
        <f t="shared" si="3"/>
        <v>21.23</v>
      </c>
    </row>
    <row r="251" spans="1:7" s="6" customFormat="1" ht="24" customHeight="1">
      <c r="A251" s="14" t="s">
        <v>494</v>
      </c>
      <c r="B251" s="15" t="s">
        <v>387</v>
      </c>
      <c r="C251" s="16" t="s">
        <v>388</v>
      </c>
      <c r="D251" s="17" t="s">
        <v>250</v>
      </c>
      <c r="E251" s="18">
        <v>29.99</v>
      </c>
      <c r="F251" s="19">
        <v>1</v>
      </c>
      <c r="G251" s="20">
        <f t="shared" si="3"/>
        <v>29.99</v>
      </c>
    </row>
    <row r="252" spans="1:7" s="6" customFormat="1" ht="24" customHeight="1">
      <c r="A252" s="14" t="s">
        <v>494</v>
      </c>
      <c r="B252" s="15" t="s">
        <v>543</v>
      </c>
      <c r="C252" s="16" t="s">
        <v>544</v>
      </c>
      <c r="D252" s="17" t="s">
        <v>26</v>
      </c>
      <c r="E252" s="18">
        <v>18.899999999999999</v>
      </c>
      <c r="F252" s="19">
        <v>1</v>
      </c>
      <c r="G252" s="20">
        <f t="shared" si="3"/>
        <v>18.899999999999999</v>
      </c>
    </row>
    <row r="253" spans="1:7" s="6" customFormat="1" ht="24" customHeight="1">
      <c r="A253" s="14" t="s">
        <v>494</v>
      </c>
      <c r="B253" s="15" t="s">
        <v>401</v>
      </c>
      <c r="C253" s="16" t="s">
        <v>402</v>
      </c>
      <c r="D253" s="17" t="s">
        <v>92</v>
      </c>
      <c r="E253" s="18">
        <v>53.06</v>
      </c>
      <c r="F253" s="19">
        <v>1</v>
      </c>
      <c r="G253" s="20">
        <f t="shared" si="3"/>
        <v>53.06</v>
      </c>
    </row>
    <row r="254" spans="1:7" s="6" customFormat="1" ht="24" customHeight="1">
      <c r="A254" s="14" t="s">
        <v>494</v>
      </c>
      <c r="B254" s="15" t="s">
        <v>211</v>
      </c>
      <c r="C254" s="16" t="s">
        <v>212</v>
      </c>
      <c r="D254" s="17" t="s">
        <v>77</v>
      </c>
      <c r="E254" s="18">
        <v>48</v>
      </c>
      <c r="F254" s="19">
        <v>1</v>
      </c>
      <c r="G254" s="20">
        <f t="shared" si="3"/>
        <v>48</v>
      </c>
    </row>
    <row r="255" spans="1:7" s="6" customFormat="1" ht="24" customHeight="1">
      <c r="A255" s="14" t="s">
        <v>494</v>
      </c>
      <c r="B255" s="15" t="s">
        <v>198</v>
      </c>
      <c r="C255" s="16" t="s">
        <v>199</v>
      </c>
      <c r="D255" s="17" t="s">
        <v>32</v>
      </c>
      <c r="E255" s="18">
        <v>26.81</v>
      </c>
      <c r="F255" s="19">
        <v>1</v>
      </c>
      <c r="G255" s="20">
        <f t="shared" si="3"/>
        <v>26.81</v>
      </c>
    </row>
    <row r="256" spans="1:7" s="6" customFormat="1" ht="24" customHeight="1">
      <c r="A256" s="14" t="s">
        <v>494</v>
      </c>
      <c r="B256" s="15" t="s">
        <v>389</v>
      </c>
      <c r="C256" s="16" t="s">
        <v>540</v>
      </c>
      <c r="D256" s="17" t="s">
        <v>195</v>
      </c>
      <c r="E256" s="18">
        <v>15.85</v>
      </c>
      <c r="F256" s="19">
        <v>1</v>
      </c>
      <c r="G256" s="20">
        <f t="shared" si="3"/>
        <v>15.85</v>
      </c>
    </row>
    <row r="257" spans="1:7" s="6" customFormat="1" ht="24" customHeight="1">
      <c r="A257" s="14" t="s">
        <v>494</v>
      </c>
      <c r="B257" s="15" t="s">
        <v>242</v>
      </c>
      <c r="C257" s="16" t="s">
        <v>243</v>
      </c>
      <c r="D257" s="17" t="s">
        <v>32</v>
      </c>
      <c r="E257" s="18">
        <v>10.119999999999999</v>
      </c>
      <c r="F257" s="19">
        <v>1</v>
      </c>
      <c r="G257" s="20">
        <f t="shared" si="3"/>
        <v>10.119999999999999</v>
      </c>
    </row>
    <row r="258" spans="1:7" s="6" customFormat="1" ht="24" customHeight="1">
      <c r="A258" s="14" t="s">
        <v>494</v>
      </c>
      <c r="B258" s="15" t="s">
        <v>228</v>
      </c>
      <c r="C258" s="16" t="s">
        <v>229</v>
      </c>
      <c r="D258" s="17" t="s">
        <v>24</v>
      </c>
      <c r="E258" s="18">
        <v>0.93</v>
      </c>
      <c r="F258" s="19">
        <v>1</v>
      </c>
      <c r="G258" s="20">
        <f t="shared" si="3"/>
        <v>0.93</v>
      </c>
    </row>
    <row r="259" spans="1:7" s="6" customFormat="1" ht="24" customHeight="1">
      <c r="A259" s="14" t="s">
        <v>494</v>
      </c>
      <c r="B259" s="15" t="s">
        <v>393</v>
      </c>
      <c r="C259" s="16" t="s">
        <v>394</v>
      </c>
      <c r="D259" s="17" t="s">
        <v>74</v>
      </c>
      <c r="E259" s="18">
        <v>7.1</v>
      </c>
      <c r="F259" s="19">
        <v>1</v>
      </c>
      <c r="G259" s="20">
        <f t="shared" si="3"/>
        <v>7.1</v>
      </c>
    </row>
    <row r="260" spans="1:7" s="6" customFormat="1" ht="24" customHeight="1">
      <c r="A260" s="14" t="s">
        <v>494</v>
      </c>
      <c r="B260" s="15" t="s">
        <v>391</v>
      </c>
      <c r="C260" s="16" t="s">
        <v>392</v>
      </c>
      <c r="D260" s="17" t="s">
        <v>35</v>
      </c>
      <c r="E260" s="18">
        <v>22.43</v>
      </c>
      <c r="F260" s="19">
        <v>1</v>
      </c>
      <c r="G260" s="20">
        <f t="shared" si="3"/>
        <v>22.43</v>
      </c>
    </row>
    <row r="261" spans="1:7" s="6" customFormat="1" ht="24" customHeight="1">
      <c r="A261" s="14" t="s">
        <v>494</v>
      </c>
      <c r="B261" s="15" t="s">
        <v>390</v>
      </c>
      <c r="C261" s="16" t="s">
        <v>541</v>
      </c>
      <c r="D261" s="17" t="s">
        <v>277</v>
      </c>
      <c r="E261" s="18">
        <f>343.13/15</f>
        <v>22.875333333333334</v>
      </c>
      <c r="F261" s="19">
        <v>1</v>
      </c>
      <c r="G261" s="20">
        <f t="shared" si="3"/>
        <v>22.875333333333334</v>
      </c>
    </row>
    <row r="262" spans="1:7" s="6" customFormat="1" ht="24" customHeight="1">
      <c r="A262" s="14" t="s">
        <v>494</v>
      </c>
      <c r="B262" s="15" t="s">
        <v>259</v>
      </c>
      <c r="C262" s="16" t="s">
        <v>260</v>
      </c>
      <c r="D262" s="17" t="s">
        <v>24</v>
      </c>
      <c r="E262" s="18">
        <v>1397</v>
      </c>
      <c r="F262" s="19">
        <v>1</v>
      </c>
      <c r="G262" s="20">
        <f t="shared" si="3"/>
        <v>1397</v>
      </c>
    </row>
    <row r="263" spans="1:7" s="6" customFormat="1" ht="24" customHeight="1">
      <c r="A263" s="14" t="s">
        <v>494</v>
      </c>
      <c r="B263" s="15" t="s">
        <v>172</v>
      </c>
      <c r="C263" s="16" t="s">
        <v>173</v>
      </c>
      <c r="D263" s="17" t="s">
        <v>155</v>
      </c>
      <c r="E263" s="18">
        <v>168.8</v>
      </c>
      <c r="F263" s="19">
        <v>1</v>
      </c>
      <c r="G263" s="20">
        <f t="shared" si="3"/>
        <v>168.8</v>
      </c>
    </row>
    <row r="264" spans="1:7" s="6" customFormat="1" ht="24" customHeight="1">
      <c r="A264" s="14" t="s">
        <v>494</v>
      </c>
      <c r="B264" s="15" t="s">
        <v>170</v>
      </c>
      <c r="C264" s="16" t="s">
        <v>171</v>
      </c>
      <c r="D264" s="17" t="s">
        <v>32</v>
      </c>
      <c r="E264" s="18">
        <v>217.9</v>
      </c>
      <c r="F264" s="19">
        <v>1</v>
      </c>
      <c r="G264" s="20">
        <f t="shared" si="3"/>
        <v>217.9</v>
      </c>
    </row>
    <row r="265" spans="1:7" s="6" customFormat="1" ht="24" customHeight="1">
      <c r="A265" s="14" t="s">
        <v>494</v>
      </c>
      <c r="B265" s="15" t="s">
        <v>176</v>
      </c>
      <c r="C265" s="16" t="s">
        <v>177</v>
      </c>
      <c r="D265" s="17" t="s">
        <v>100</v>
      </c>
      <c r="E265" s="18">
        <v>185.4</v>
      </c>
      <c r="F265" s="19">
        <v>1</v>
      </c>
      <c r="G265" s="20">
        <f t="shared" si="3"/>
        <v>185.4</v>
      </c>
    </row>
    <row r="266" spans="1:7" s="6" customFormat="1" ht="24" customHeight="1">
      <c r="A266" s="14" t="s">
        <v>494</v>
      </c>
      <c r="B266" s="15" t="s">
        <v>174</v>
      </c>
      <c r="C266" s="16" t="s">
        <v>175</v>
      </c>
      <c r="D266" s="17" t="s">
        <v>35</v>
      </c>
      <c r="E266" s="18">
        <v>132.03</v>
      </c>
      <c r="F266" s="19">
        <v>1</v>
      </c>
      <c r="G266" s="20">
        <f t="shared" ref="G266:G329" si="4">F266*E266</f>
        <v>132.03</v>
      </c>
    </row>
    <row r="267" spans="1:7" s="6" customFormat="1" ht="24" customHeight="1">
      <c r="A267" s="14" t="s">
        <v>494</v>
      </c>
      <c r="B267" s="15" t="s">
        <v>178</v>
      </c>
      <c r="C267" s="16" t="s">
        <v>179</v>
      </c>
      <c r="D267" s="17" t="s">
        <v>53</v>
      </c>
      <c r="E267" s="18">
        <v>183.9</v>
      </c>
      <c r="F267" s="19">
        <v>1</v>
      </c>
      <c r="G267" s="20">
        <f t="shared" si="4"/>
        <v>183.9</v>
      </c>
    </row>
    <row r="268" spans="1:7" s="6" customFormat="1" ht="24" customHeight="1">
      <c r="A268" s="14" t="s">
        <v>494</v>
      </c>
      <c r="B268" s="15" t="s">
        <v>403</v>
      </c>
      <c r="C268" s="16" t="s">
        <v>404</v>
      </c>
      <c r="D268" s="17" t="s">
        <v>21</v>
      </c>
      <c r="E268" s="18">
        <v>19.8</v>
      </c>
      <c r="F268" s="19">
        <v>1</v>
      </c>
      <c r="G268" s="20">
        <f t="shared" si="4"/>
        <v>19.8</v>
      </c>
    </row>
    <row r="269" spans="1:7" s="6" customFormat="1" ht="24" customHeight="1">
      <c r="A269" s="14" t="s">
        <v>494</v>
      </c>
      <c r="B269" s="15" t="s">
        <v>368</v>
      </c>
      <c r="C269" s="16" t="s">
        <v>369</v>
      </c>
      <c r="D269" s="17" t="s">
        <v>264</v>
      </c>
      <c r="E269" s="18">
        <f>76.4/30</f>
        <v>2.5466666666666669</v>
      </c>
      <c r="F269" s="19">
        <v>1</v>
      </c>
      <c r="G269" s="20">
        <f t="shared" si="4"/>
        <v>2.5466666666666669</v>
      </c>
    </row>
    <row r="270" spans="1:7" s="6" customFormat="1" ht="24" customHeight="1">
      <c r="A270" s="14" t="s">
        <v>494</v>
      </c>
      <c r="B270" s="15" t="s">
        <v>512</v>
      </c>
      <c r="C270" s="16" t="s">
        <v>510</v>
      </c>
      <c r="D270" s="22" t="s">
        <v>43</v>
      </c>
      <c r="E270" s="18">
        <v>4.79</v>
      </c>
      <c r="F270" s="19">
        <v>1</v>
      </c>
      <c r="G270" s="20">
        <f t="shared" si="4"/>
        <v>4.79</v>
      </c>
    </row>
    <row r="271" spans="1:7" s="6" customFormat="1" ht="24" customHeight="1">
      <c r="A271" s="14" t="s">
        <v>494</v>
      </c>
      <c r="B271" s="15" t="s">
        <v>399</v>
      </c>
      <c r="C271" s="16" t="s">
        <v>400</v>
      </c>
      <c r="D271" s="17" t="s">
        <v>139</v>
      </c>
      <c r="E271" s="18">
        <v>35.130000000000003</v>
      </c>
      <c r="F271" s="19">
        <v>1</v>
      </c>
      <c r="G271" s="20">
        <f t="shared" si="4"/>
        <v>35.130000000000003</v>
      </c>
    </row>
    <row r="272" spans="1:7" s="6" customFormat="1" ht="24" customHeight="1">
      <c r="A272" s="14" t="s">
        <v>494</v>
      </c>
      <c r="B272" s="15" t="s">
        <v>202</v>
      </c>
      <c r="C272" s="16" t="s">
        <v>203</v>
      </c>
      <c r="D272" s="17" t="s">
        <v>158</v>
      </c>
      <c r="E272" s="18">
        <v>67.756</v>
      </c>
      <c r="F272" s="19">
        <v>1</v>
      </c>
      <c r="G272" s="20">
        <f t="shared" si="4"/>
        <v>67.756</v>
      </c>
    </row>
    <row r="273" spans="1:7" s="6" customFormat="1" ht="24" customHeight="1">
      <c r="A273" s="14" t="s">
        <v>494</v>
      </c>
      <c r="B273" s="15" t="s">
        <v>234</v>
      </c>
      <c r="C273" s="16" t="s">
        <v>235</v>
      </c>
      <c r="D273" s="17" t="s">
        <v>92</v>
      </c>
      <c r="E273" s="18">
        <v>19.7</v>
      </c>
      <c r="F273" s="19">
        <v>1</v>
      </c>
      <c r="G273" s="20">
        <f t="shared" si="4"/>
        <v>19.7</v>
      </c>
    </row>
    <row r="274" spans="1:7" s="6" customFormat="1" ht="24" customHeight="1">
      <c r="A274" s="14" t="s">
        <v>494</v>
      </c>
      <c r="B274" s="15" t="s">
        <v>405</v>
      </c>
      <c r="C274" s="16" t="s">
        <v>406</v>
      </c>
      <c r="D274" s="17" t="s">
        <v>10</v>
      </c>
      <c r="E274" s="18">
        <v>41.74</v>
      </c>
      <c r="F274" s="19">
        <v>1</v>
      </c>
      <c r="G274" s="20">
        <f t="shared" si="4"/>
        <v>41.74</v>
      </c>
    </row>
    <row r="275" spans="1:7" s="6" customFormat="1" ht="24" customHeight="1">
      <c r="A275" s="14" t="s">
        <v>494</v>
      </c>
      <c r="B275" s="15" t="s">
        <v>44</v>
      </c>
      <c r="C275" s="16" t="s">
        <v>45</v>
      </c>
      <c r="D275" s="17" t="s">
        <v>46</v>
      </c>
      <c r="E275" s="18">
        <v>36.81</v>
      </c>
      <c r="F275" s="19">
        <v>1</v>
      </c>
      <c r="G275" s="20">
        <f t="shared" si="4"/>
        <v>36.81</v>
      </c>
    </row>
    <row r="276" spans="1:7" s="6" customFormat="1" ht="24" customHeight="1">
      <c r="A276" s="14" t="s">
        <v>494</v>
      </c>
      <c r="B276" s="15" t="s">
        <v>407</v>
      </c>
      <c r="C276" s="16" t="s">
        <v>408</v>
      </c>
      <c r="D276" s="17" t="s">
        <v>77</v>
      </c>
      <c r="E276" s="18">
        <v>27.062666666666665</v>
      </c>
      <c r="F276" s="19">
        <v>1</v>
      </c>
      <c r="G276" s="20">
        <f t="shared" si="4"/>
        <v>27.062666666666665</v>
      </c>
    </row>
    <row r="277" spans="1:7" s="6" customFormat="1" ht="24" customHeight="1">
      <c r="A277" s="14" t="s">
        <v>494</v>
      </c>
      <c r="B277" s="23" t="s">
        <v>409</v>
      </c>
      <c r="C277" s="24" t="s">
        <v>410</v>
      </c>
      <c r="D277" s="33" t="s">
        <v>95</v>
      </c>
      <c r="E277" s="25">
        <v>14.69</v>
      </c>
      <c r="F277" s="19">
        <v>1</v>
      </c>
      <c r="G277" s="20">
        <f t="shared" si="4"/>
        <v>14.69</v>
      </c>
    </row>
    <row r="278" spans="1:7" s="6" customFormat="1" ht="24" customHeight="1">
      <c r="A278" s="14" t="s">
        <v>494</v>
      </c>
      <c r="B278" s="15" t="s">
        <v>411</v>
      </c>
      <c r="C278" s="16" t="s">
        <v>412</v>
      </c>
      <c r="D278" s="17" t="s">
        <v>29</v>
      </c>
      <c r="E278" s="18">
        <v>13.96</v>
      </c>
      <c r="F278" s="19">
        <v>1</v>
      </c>
      <c r="G278" s="20">
        <f t="shared" si="4"/>
        <v>13.96</v>
      </c>
    </row>
    <row r="279" spans="1:7" s="6" customFormat="1" ht="24" customHeight="1">
      <c r="A279" s="14" t="s">
        <v>494</v>
      </c>
      <c r="B279" s="15" t="s">
        <v>366</v>
      </c>
      <c r="C279" s="16" t="s">
        <v>367</v>
      </c>
      <c r="D279" s="17" t="s">
        <v>71</v>
      </c>
      <c r="E279" s="18">
        <f>107.6/15</f>
        <v>7.1733333333333329</v>
      </c>
      <c r="F279" s="19">
        <v>1</v>
      </c>
      <c r="G279" s="20">
        <f t="shared" si="4"/>
        <v>7.1733333333333329</v>
      </c>
    </row>
    <row r="280" spans="1:7" s="6" customFormat="1" ht="24" customHeight="1">
      <c r="A280" s="14" t="s">
        <v>494</v>
      </c>
      <c r="B280" s="15" t="s">
        <v>191</v>
      </c>
      <c r="C280" s="16" t="s">
        <v>192</v>
      </c>
      <c r="D280" s="17" t="s">
        <v>35</v>
      </c>
      <c r="E280" s="18">
        <v>1.98</v>
      </c>
      <c r="F280" s="19">
        <v>1</v>
      </c>
      <c r="G280" s="20">
        <f t="shared" si="4"/>
        <v>1.98</v>
      </c>
    </row>
    <row r="281" spans="1:7" s="6" customFormat="1" ht="24" customHeight="1">
      <c r="A281" s="14" t="s">
        <v>494</v>
      </c>
      <c r="B281" s="15" t="s">
        <v>193</v>
      </c>
      <c r="C281" s="16" t="s">
        <v>194</v>
      </c>
      <c r="D281" s="17" t="s">
        <v>195</v>
      </c>
      <c r="E281" s="18">
        <v>5.9</v>
      </c>
      <c r="F281" s="19">
        <v>1</v>
      </c>
      <c r="G281" s="20">
        <f t="shared" si="4"/>
        <v>5.9</v>
      </c>
    </row>
    <row r="282" spans="1:7" s="6" customFormat="1" ht="24" customHeight="1">
      <c r="A282" s="14" t="s">
        <v>494</v>
      </c>
      <c r="B282" s="15" t="s">
        <v>483</v>
      </c>
      <c r="C282" s="16" t="s">
        <v>484</v>
      </c>
      <c r="D282" s="17" t="s">
        <v>485</v>
      </c>
      <c r="E282" s="18">
        <v>4987</v>
      </c>
      <c r="F282" s="19">
        <v>1</v>
      </c>
      <c r="G282" s="20">
        <f t="shared" si="4"/>
        <v>4987</v>
      </c>
    </row>
    <row r="283" spans="1:7" s="6" customFormat="1" ht="24" customHeight="1">
      <c r="A283" s="14" t="s">
        <v>494</v>
      </c>
      <c r="B283" s="15" t="s">
        <v>59</v>
      </c>
      <c r="C283" s="16">
        <v>2660</v>
      </c>
      <c r="D283" s="17" t="s">
        <v>60</v>
      </c>
      <c r="E283" s="18">
        <v>609.38</v>
      </c>
      <c r="F283" s="19">
        <v>1</v>
      </c>
      <c r="G283" s="20">
        <f t="shared" si="4"/>
        <v>609.38</v>
      </c>
    </row>
    <row r="284" spans="1:7" s="6" customFormat="1" ht="24" customHeight="1">
      <c r="A284" s="14" t="s">
        <v>494</v>
      </c>
      <c r="B284" s="15" t="s">
        <v>486</v>
      </c>
      <c r="C284" s="16" t="s">
        <v>487</v>
      </c>
      <c r="D284" s="17" t="s">
        <v>477</v>
      </c>
      <c r="E284" s="18">
        <v>702.19</v>
      </c>
      <c r="F284" s="19">
        <v>1</v>
      </c>
      <c r="G284" s="20">
        <f t="shared" si="4"/>
        <v>702.19</v>
      </c>
    </row>
    <row r="285" spans="1:7" s="6" customFormat="1" ht="24" customHeight="1">
      <c r="A285" s="14" t="s">
        <v>494</v>
      </c>
      <c r="B285" s="15" t="s">
        <v>488</v>
      </c>
      <c r="C285" s="16" t="s">
        <v>489</v>
      </c>
      <c r="D285" s="17" t="s">
        <v>471</v>
      </c>
      <c r="E285" s="18">
        <v>3656.25</v>
      </c>
      <c r="F285" s="19">
        <v>1</v>
      </c>
      <c r="G285" s="20">
        <f t="shared" si="4"/>
        <v>3656.25</v>
      </c>
    </row>
    <row r="286" spans="1:7" s="6" customFormat="1" ht="24" customHeight="1">
      <c r="A286" s="14" t="s">
        <v>494</v>
      </c>
      <c r="B286" s="15" t="s">
        <v>490</v>
      </c>
      <c r="C286" s="16" t="s">
        <v>491</v>
      </c>
      <c r="D286" s="17" t="s">
        <v>485</v>
      </c>
      <c r="E286" s="18">
        <v>185.63</v>
      </c>
      <c r="F286" s="19">
        <v>1</v>
      </c>
      <c r="G286" s="20">
        <f t="shared" si="4"/>
        <v>185.63</v>
      </c>
    </row>
    <row r="287" spans="1:7" s="6" customFormat="1" ht="24" customHeight="1">
      <c r="A287" s="14" t="s">
        <v>494</v>
      </c>
      <c r="B287" s="15" t="s">
        <v>492</v>
      </c>
      <c r="C287" s="16" t="s">
        <v>493</v>
      </c>
      <c r="D287" s="17" t="s">
        <v>460</v>
      </c>
      <c r="E287" s="18">
        <v>203.44</v>
      </c>
      <c r="F287" s="19">
        <v>1</v>
      </c>
      <c r="G287" s="20">
        <f t="shared" si="4"/>
        <v>203.44</v>
      </c>
    </row>
    <row r="288" spans="1:7" s="6" customFormat="1" ht="24" customHeight="1"/>
    <row r="289" spans="1:7" s="6" customFormat="1" ht="24" customHeight="1">
      <c r="D289" s="26" t="s">
        <v>513</v>
      </c>
      <c r="E289" s="27"/>
      <c r="F289" s="28"/>
      <c r="G289" s="29">
        <f>ROUND(SUM(G10:G276),0)</f>
        <v>97144</v>
      </c>
    </row>
    <row r="290" spans="1:7" s="6" customFormat="1" ht="24" customHeight="1">
      <c r="D290" s="26" t="s">
        <v>514</v>
      </c>
      <c r="E290" s="27"/>
      <c r="F290" s="28"/>
      <c r="G290" s="29">
        <f>ROUND(SUM(G277:G287),0)</f>
        <v>10388</v>
      </c>
    </row>
    <row r="291" spans="1:7" s="6" customFormat="1" ht="24" customHeight="1">
      <c r="D291" s="26" t="s">
        <v>515</v>
      </c>
      <c r="E291" s="27"/>
      <c r="F291" s="28"/>
      <c r="G291" s="29">
        <f>ROUND(SUM(G289:G290),0)</f>
        <v>107532</v>
      </c>
    </row>
    <row r="292" spans="1:7" s="6" customFormat="1" ht="24" customHeight="1"/>
    <row r="293" spans="1:7" s="6" customFormat="1" ht="24" customHeight="1"/>
    <row r="294" spans="1:7" s="6" customFormat="1" ht="24" customHeight="1">
      <c r="A294" s="30"/>
      <c r="B294" s="31"/>
      <c r="C294" s="31"/>
      <c r="D294" s="31"/>
      <c r="E294" s="40" t="s">
        <v>516</v>
      </c>
      <c r="F294" s="40"/>
      <c r="G294" s="31"/>
    </row>
    <row r="295" spans="1:7" s="6" customFormat="1" ht="24" customHeight="1">
      <c r="E295" s="41" t="s">
        <v>517</v>
      </c>
      <c r="F295" s="41"/>
    </row>
    <row r="296" spans="1:7" ht="24" customHeight="1">
      <c r="A296" s="1"/>
    </row>
    <row r="297" spans="1:7" ht="24" customHeight="1">
      <c r="A297" s="1"/>
    </row>
    <row r="298" spans="1:7" ht="24" customHeight="1">
      <c r="A298" s="1"/>
    </row>
    <row r="299" spans="1:7" ht="24" customHeight="1">
      <c r="A299" s="1"/>
    </row>
    <row r="300" spans="1:7" ht="24" customHeight="1">
      <c r="A300" s="1"/>
    </row>
    <row r="301" spans="1:7" ht="24" customHeight="1">
      <c r="A301" s="1"/>
    </row>
    <row r="302" spans="1:7" ht="24" customHeight="1">
      <c r="A302" s="1"/>
    </row>
    <row r="303" spans="1:7" ht="24" customHeight="1">
      <c r="A303" s="1"/>
    </row>
    <row r="304" spans="1:7" ht="24" customHeight="1">
      <c r="A304" s="1"/>
    </row>
    <row r="305" spans="1:1" ht="24" customHeight="1">
      <c r="A305" s="1"/>
    </row>
    <row r="306" spans="1:1" ht="24" customHeight="1">
      <c r="A306" s="1"/>
    </row>
    <row r="307" spans="1:1" ht="24" customHeight="1">
      <c r="A307" s="1"/>
    </row>
    <row r="308" spans="1:1" ht="24" customHeight="1">
      <c r="A308" s="1"/>
    </row>
    <row r="309" spans="1:1" ht="24" customHeight="1">
      <c r="A309" s="1"/>
    </row>
    <row r="310" spans="1:1" ht="24" customHeight="1">
      <c r="A310" s="1"/>
    </row>
    <row r="311" spans="1:1" ht="24" customHeight="1">
      <c r="A311" s="1"/>
    </row>
    <row r="312" spans="1:1" ht="24" customHeight="1">
      <c r="A312" s="1"/>
    </row>
    <row r="313" spans="1:1" ht="24" customHeight="1">
      <c r="A313" s="1"/>
    </row>
    <row r="314" spans="1:1" ht="24" customHeight="1">
      <c r="A314" s="1"/>
    </row>
    <row r="315" spans="1:1" ht="24" customHeight="1">
      <c r="A315" s="1"/>
    </row>
    <row r="316" spans="1:1" ht="24" customHeight="1">
      <c r="A316" s="1"/>
    </row>
    <row r="317" spans="1:1" ht="24" customHeight="1">
      <c r="A317" s="1"/>
    </row>
    <row r="318" spans="1:1" ht="24" customHeight="1">
      <c r="A318" s="1"/>
    </row>
    <row r="319" spans="1:1" ht="24" customHeight="1">
      <c r="A319" s="1"/>
    </row>
    <row r="320" spans="1:1" ht="24" customHeight="1">
      <c r="A320" s="1"/>
    </row>
    <row r="321" spans="1:1" ht="24" customHeight="1">
      <c r="A321" s="1"/>
    </row>
    <row r="322" spans="1:1" ht="24" customHeight="1">
      <c r="A322" s="1"/>
    </row>
    <row r="323" spans="1:1" ht="24" customHeight="1">
      <c r="A323" s="1"/>
    </row>
    <row r="324" spans="1:1" ht="24" customHeight="1">
      <c r="A324" s="1"/>
    </row>
  </sheetData>
  <sortState ref="A10:G287">
    <sortCondition ref="B9"/>
  </sortState>
  <mergeCells count="10">
    <mergeCell ref="A7:C7"/>
    <mergeCell ref="D7:G7"/>
    <mergeCell ref="E294:F294"/>
    <mergeCell ref="E295:F295"/>
    <mergeCell ref="A1:G1"/>
    <mergeCell ref="A3:G3"/>
    <mergeCell ref="A5:C5"/>
    <mergeCell ref="D5:G5"/>
    <mergeCell ref="A6:C6"/>
    <mergeCell ref="D6:G6"/>
  </mergeCells>
  <printOptions horizontalCentered="1"/>
  <pageMargins left="0.39370078740157483" right="0.39370078740157483" top="0.78740157480314965" bottom="0.59055118110236227" header="0.11811023622047245" footer="0.11811023622047245"/>
  <pageSetup paperSize="9" scale="70" orientation="portrait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MEDICINE</vt:lpstr>
      <vt:lpstr>MEDICINE!Print_Titles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mritunjay</dc:creator>
  <cp:lastModifiedBy>mritunjay</cp:lastModifiedBy>
  <cp:lastPrinted>2026-04-24T05:00:00Z</cp:lastPrinted>
  <dcterms:created xsi:type="dcterms:W3CDTF">2026-04-24T04:08:23Z</dcterms:created>
  <dcterms:modified xsi:type="dcterms:W3CDTF">2026-04-24T05:11:00Z</dcterms:modified>
</cp:coreProperties>
</file>